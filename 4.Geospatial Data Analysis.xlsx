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shu\OneDrive\Desktop\Documents\"/>
    </mc:Choice>
  </mc:AlternateContent>
  <xr:revisionPtr revIDLastSave="0" documentId="8_{6AEC801C-8AC2-4EBE-9D51-E8B8295A8C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 data-set" sheetId="1" r:id="rId1"/>
    <sheet name="Final Geo Analysis" sheetId="2" r:id="rId2"/>
    <sheet name="PIVOT CHART" sheetId="3" r:id="rId3"/>
  </sheets>
  <definedNames>
    <definedName name="_xlnm._FilterDatabase" localSheetId="1" hidden="1">'Final Geo Analysis'!$A$1:$G$46</definedName>
    <definedName name="_xlnm._FilterDatabase" localSheetId="0" hidden="1">'sales data-set'!$A$1:$B$46</definedName>
    <definedName name="_xlchart.v5.0" hidden="1">'PIVOT CHART'!$F$1</definedName>
    <definedName name="_xlchart.v5.1" hidden="1">'PIVOT CHART'!$F$2:$F$7</definedName>
    <definedName name="_xlchart.v5.10" hidden="1">'PIVOT CHART'!$G$1</definedName>
    <definedName name="_xlchart.v5.11" hidden="1">'PIVOT CHART'!$G$2:$G$7</definedName>
    <definedName name="_xlchart.v5.12" hidden="1">'PIVOT CHART'!$F$1</definedName>
    <definedName name="_xlchart.v5.13" hidden="1">'PIVOT CHART'!$F$2:$F$7</definedName>
    <definedName name="_xlchart.v5.14" hidden="1">'PIVOT CHART'!$G$1</definedName>
    <definedName name="_xlchart.v5.15" hidden="1">'PIVOT CHART'!$G$2:$G$7</definedName>
    <definedName name="_xlchart.v5.2" hidden="1">'PIVOT CHART'!$G$1</definedName>
    <definedName name="_xlchart.v5.3" hidden="1">'PIVOT CHART'!$G$2:$G$7</definedName>
    <definedName name="_xlchart.v5.4" hidden="1">'PIVOT CHART'!$F$1</definedName>
    <definedName name="_xlchart.v5.5" hidden="1">'PIVOT CHART'!$F$2:$F$7</definedName>
    <definedName name="_xlchart.v5.6" hidden="1">'PIVOT CHART'!$G$1</definedName>
    <definedName name="_xlchart.v5.7" hidden="1">'PIVOT CHART'!$G$2:$G$7</definedName>
    <definedName name="_xlchart.v5.8" hidden="1">'PIVOT CHART'!$F$1</definedName>
    <definedName name="_xlchart.v5.9" hidden="1">'PIVOT CHART'!$F$2:$F$7</definedName>
  </definedNames>
  <calcPr calcId="191029"/>
  <pivotCaches>
    <pivotCache cacheId="3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1702" i="3"/>
  <c r="E1716" i="3"/>
  <c r="E1756" i="3"/>
  <c r="E1774" i="3"/>
  <c r="D3" i="3"/>
  <c r="D4" i="3"/>
  <c r="D5" i="3"/>
  <c r="D6" i="3"/>
  <c r="D7" i="3"/>
  <c r="D8" i="3"/>
  <c r="D2" i="3"/>
</calcChain>
</file>

<file path=xl/sharedStrings.xml><?xml version="1.0" encoding="utf-8"?>
<sst xmlns="http://schemas.openxmlformats.org/spreadsheetml/2006/main" count="272" uniqueCount="155">
  <si>
    <t>Store</t>
  </si>
  <si>
    <t>Total Weekly Sales</t>
  </si>
  <si>
    <t>City</t>
  </si>
  <si>
    <t>State</t>
  </si>
  <si>
    <t>Latitude</t>
  </si>
  <si>
    <t>Longitude</t>
  </si>
  <si>
    <t>Total Sales</t>
  </si>
  <si>
    <t>Demand Level</t>
  </si>
  <si>
    <t>Rogers</t>
  </si>
  <si>
    <t>AR</t>
  </si>
  <si>
    <t>High</t>
  </si>
  <si>
    <t>Harrison</t>
  </si>
  <si>
    <t>Commerce</t>
  </si>
  <si>
    <t>GA</t>
  </si>
  <si>
    <t>Low</t>
  </si>
  <si>
    <t>Siloam Springs</t>
  </si>
  <si>
    <t>Conway</t>
  </si>
  <si>
    <t>Bentonville</t>
  </si>
  <si>
    <t>Sherwood</t>
  </si>
  <si>
    <t>Morrilton</t>
  </si>
  <si>
    <t>Sikeston</t>
  </si>
  <si>
    <t>MO</t>
  </si>
  <si>
    <t>Tahlequah</t>
  </si>
  <si>
    <t>OK</t>
  </si>
  <si>
    <t>Mountain Home</t>
  </si>
  <si>
    <t>Claremore</t>
  </si>
  <si>
    <t>Carthage</t>
  </si>
  <si>
    <t>Lebanon</t>
  </si>
  <si>
    <t>West Plains</t>
  </si>
  <si>
    <t>Van Buren</t>
  </si>
  <si>
    <t>Neosho</t>
  </si>
  <si>
    <t>Newport</t>
  </si>
  <si>
    <t>Poplar Bluff</t>
  </si>
  <si>
    <t>Clinton</t>
  </si>
  <si>
    <t>St. Robert</t>
  </si>
  <si>
    <t>Pryor</t>
  </si>
  <si>
    <t>Ruston</t>
  </si>
  <si>
    <t>LA</t>
  </si>
  <si>
    <t>Jacksonville</t>
  </si>
  <si>
    <t>Mexico</t>
  </si>
  <si>
    <t>Leavenworth</t>
  </si>
  <si>
    <t>KS</t>
  </si>
  <si>
    <t>Salem</t>
  </si>
  <si>
    <t>Miami</t>
  </si>
  <si>
    <t>Jefferson City</t>
  </si>
  <si>
    <t>Dexter</t>
  </si>
  <si>
    <t>Poteau</t>
  </si>
  <si>
    <t>Mena</t>
  </si>
  <si>
    <t>Nashville</t>
  </si>
  <si>
    <t>Nevada</t>
  </si>
  <si>
    <t>Manhattan</t>
  </si>
  <si>
    <t>Paragould</t>
  </si>
  <si>
    <t>Farmington</t>
  </si>
  <si>
    <t>Idabel</t>
  </si>
  <si>
    <t>Fort Scott</t>
  </si>
  <si>
    <t>Moberly</t>
  </si>
  <si>
    <t>Bartlesville</t>
  </si>
  <si>
    <t>Coffeyville</t>
  </si>
  <si>
    <t>Junction City</t>
  </si>
  <si>
    <t>Eldon</t>
  </si>
  <si>
    <t>Jonesboro</t>
  </si>
  <si>
    <t>Count of Store</t>
  </si>
  <si>
    <t>Sum of Total Sales</t>
  </si>
  <si>
    <t>Sales per Store</t>
  </si>
  <si>
    <t>Expansion Opportunity</t>
  </si>
  <si>
    <t>Grand Total</t>
  </si>
  <si>
    <t>Btayeh mujhe</t>
  </si>
  <si>
    <t>Data Cleaning Start.xlsx</t>
  </si>
  <si>
    <t>Spreadsheet</t>
  </si>
  <si>
    <t>dekho mujhe kya kya steps doh</t>
  </si>
  <si>
    <t>FIRST CHECK KR O MERA FIRST RASK HHE</t>
  </si>
  <si>
    <t>ABB KYA KREH KAISE BNAYEH</t>
  </si>
  <si>
    <t>YRR MUJHE LINK COPY KRNI KHA SEH</t>
  </si>
  <si>
    <t>Sunday 2:32 PM</t>
  </si>
  <si>
    <t>yr mujhe 2 taskki excel sheet nhi mili vhw youtube video meh bhi nhi hhe kya kru hysa support meh likhu jya</t>
  </si>
  <si>
    <t>3cfdcad4-c589-46c0-82e3-2e3a93565250.xlsx</t>
  </si>
  <si>
    <t>kya kya krna heh</t>
  </si>
  <si>
    <t>d7cf6ae1-0224-4dc6-97e4-d464f59feb4d.xlsx</t>
  </si>
  <si>
    <t>dekho and bolo abhi ky aknra heh task kejh accrding</t>
  </si>
  <si>
    <t> YEH CORRRECT HHE DATA SET MEH 7036 ENTRY HI HEH</t>
  </si>
  <si>
    <t>KYA KRNA H</t>
  </si>
  <si>
    <t>Web Traffic Analytics</t>
  </si>
  <si>
    <t>Examine website traffic data to understand user behavior. Identify key metrics such as page views, session duration, and drop-off points. Map user journeys to uncover insights that can improve engagement.</t>
  </si>
  <si>
    <r>
      <t>ID:</t>
    </r>
    <r>
      <rPr>
        <sz val="11"/>
        <color theme="1"/>
        <rFont val="Calibri"/>
        <family val="2"/>
        <scheme val="minor"/>
      </rPr>
      <t> task3</t>
    </r>
  </si>
  <si>
    <t>17cd3387 faea 4c56 b82f 64130bffbca9</t>
  </si>
  <si>
    <t>Page Views</t>
  </si>
  <si>
    <t>Session Duration</t>
  </si>
  <si>
    <t>Bounce Rate</t>
  </si>
  <si>
    <t>Traffic Source</t>
  </si>
  <si>
    <t>Organic</t>
  </si>
  <si>
    <t>Social</t>
  </si>
  <si>
    <t>DONE</t>
  </si>
  <si>
    <t>d95f1391-ce8b-4e00-b86c-a723a19b2d67.xlsx</t>
  </si>
  <si>
    <t>Interactive Dashboard Development</t>
  </si>
  <si>
    <t>Create an interactive dashboard that presents key insights clearly and effectively. Use appropriate charts and visual elements to communicate trends, performance metrics, and actionable insights for decision-making.</t>
  </si>
  <si>
    <r>
      <t>ID:</t>
    </r>
    <r>
      <rPr>
        <sz val="11"/>
        <color theme="1"/>
        <rFont val="Calibri"/>
        <family val="2"/>
        <scheme val="minor"/>
      </rPr>
      <t> task5 KY YEH TASK 5 KEH LIYHE MAINE YEH PHLE HI BNAYA THA YEH USE KR SKTI HU KYAA</t>
    </r>
  </si>
  <si>
    <t>DEKHO MERE EXCEL MEH ITNA HHE YEH TASH 5 FULFILL KRAH HE H THOA YAHI UPLOAD KR DETI HU GITHUB PR</t>
  </si>
  <si>
    <t>SEE KAISE HEG SB KUCH BAKI SB IMAGE BHI DEKKR BATYEH</t>
  </si>
  <si>
    <t>WHY</t>
  </si>
  <si>
    <t>SEE</t>
  </si>
  <si>
    <t> AISA DIKHRAH OPEN KRENE KEH SAATH AND THEN 1 MIN MEH THIKH HORAH HHE</t>
  </si>
  <si>
    <t>TASK3 (1).xlsx</t>
  </si>
  <si>
    <t>yeh sb heh mere dashboard file meh unhe lagega nhi n kuch ki phle seh hi</t>
  </si>
  <si>
    <t>hyapr</t>
  </si>
  <si>
    <t>sunnno yeh thikh heh kya and maine task 5 already heh and taask 4 remaining hhe kya meh task 5 upload kr skti hu link unko kuch lageg anhi n</t>
  </si>
  <si>
    <t>mere pass abhi bs yahi hhe</t>
  </si>
  <si>
    <t>ky abb next</t>
  </si>
  <si>
    <t>mujhe nhi smjha n tho serial meh heh n phir kya kru</t>
  </si>
  <si>
    <t> abb aisa aaya</t>
  </si>
  <si>
    <t>yeh itna hui sheet 7 bnaya hhe yeh meh yad rkhna</t>
  </si>
  <si>
    <t>ABB</t>
  </si>
  <si>
    <r>
      <t xml:space="preserve">HAAN 😭❤️ </t>
    </r>
    <r>
      <rPr>
        <b/>
        <sz val="11"/>
        <color theme="1"/>
        <rFont val="Calibri"/>
        <family val="2"/>
        <scheme val="minor"/>
      </rPr>
      <t>ab samjhi tum kya bol rahi ho.</t>
    </r>
  </si>
  <si>
    <r>
      <t xml:space="preserve">Tum </t>
    </r>
    <r>
      <rPr>
        <b/>
        <sz val="11"/>
        <color theme="1"/>
        <rFont val="Calibri"/>
        <family val="2"/>
        <scheme val="minor"/>
      </rPr>
      <t>MAP wali sheet par jaake</t>
    </r>
    <r>
      <rPr>
        <sz val="11"/>
        <color theme="1"/>
        <rFont val="Calibri"/>
        <family val="2"/>
        <scheme val="minor"/>
      </rPr>
      <t xml:space="preserve">, wahi data select karke </t>
    </r>
    <r>
      <rPr>
        <b/>
        <sz val="11"/>
        <color theme="1"/>
        <rFont val="Calibri"/>
        <family val="2"/>
        <scheme val="minor"/>
      </rPr>
      <t>Map chart banana</t>
    </r>
    <r>
      <rPr>
        <sz val="11"/>
        <color theme="1"/>
        <rFont val="Calibri"/>
        <family val="2"/>
        <scheme val="minor"/>
      </rPr>
      <t xml:space="preserve"> chahti ho — </t>
    </r>
    <r>
      <rPr>
        <b/>
        <sz val="11"/>
        <color theme="1"/>
        <rFont val="Calibri"/>
        <family val="2"/>
        <scheme val="minor"/>
      </rPr>
      <t>aur Q column ke baare me pooch rahi ho.</t>
    </r>
  </si>
  <si>
    <t>Ab exact kya karna hai:</t>
  </si>
  <si>
    <r>
      <t>Q column ki zarurat NAHI hai.</t>
    </r>
    <r>
      <rPr>
        <sz val="11"/>
        <color theme="1"/>
        <rFont val="Calibri"/>
        <family val="2"/>
        <scheme val="minor"/>
      </rPr>
      <t xml:space="preserve"> ❌</t>
    </r>
  </si>
  <si>
    <r>
      <t xml:space="preserve">Map ke liye hume </t>
    </r>
    <r>
      <rPr>
        <b/>
        <sz val="11"/>
        <color theme="1"/>
        <rFont val="Calibri"/>
        <family val="2"/>
        <scheme val="minor"/>
      </rPr>
      <t>State + Total Sales</t>
    </r>
    <r>
      <rPr>
        <sz val="11"/>
        <color theme="1"/>
        <rFont val="Calibri"/>
        <family val="2"/>
        <scheme val="minor"/>
      </rPr>
      <t xml:space="preserve"> chahiye.</t>
    </r>
  </si>
  <si>
    <r>
      <t xml:space="preserve">Tumhari </t>
    </r>
    <r>
      <rPr>
        <b/>
        <sz val="11"/>
        <color theme="1"/>
        <rFont val="Calibri"/>
        <family val="2"/>
        <scheme val="minor"/>
      </rPr>
      <t>Sheet7</t>
    </r>
    <r>
      <rPr>
        <sz val="11"/>
        <color theme="1"/>
        <rFont val="Calibri"/>
        <family val="2"/>
        <scheme val="minor"/>
      </rPr>
      <t xml:space="preserve"> me:</t>
    </r>
  </si>
  <si>
    <t>A = State</t>
  </si>
  <si>
    <t>C = Sum of Total Sales</t>
  </si>
  <si>
    <r>
      <t xml:space="preserve">Lekin Excel Map ke liye easiest hai </t>
    </r>
    <r>
      <rPr>
        <b/>
        <sz val="11"/>
        <color theme="1"/>
        <rFont val="Calibri"/>
        <family val="2"/>
        <scheme val="minor"/>
      </rPr>
      <t>Map Data</t>
    </r>
    <r>
      <rPr>
        <sz val="11"/>
        <color theme="1"/>
        <rFont val="Calibri"/>
        <family val="2"/>
        <scheme val="minor"/>
      </rPr>
      <t xml:space="preserve"> me:</t>
    </r>
  </si>
  <si>
    <t>G = State</t>
  </si>
  <si>
    <t>H = Total Sales</t>
  </si>
  <si>
    <t>Map banane ke steps:</t>
  </si>
  <si>
    <t>1. Map Data sheet par jao</t>
  </si>
  <si>
    <t>2. G3:H9 select karo</t>
  </si>
  <si>
    <t>3. Insert → Maps → Filled Map</t>
  </si>
  <si>
    <t>4. Map banega.</t>
  </si>
  <si>
    <t>5. Title:</t>
  </si>
  <si>
    <t>Sales by State – Geographic Analysis</t>
  </si>
  <si>
    <r>
      <t xml:space="preserve">👉 </t>
    </r>
    <r>
      <rPr>
        <b/>
        <sz val="11"/>
        <color theme="1"/>
        <rFont val="Calibri"/>
        <family val="2"/>
        <scheme val="minor"/>
      </rPr>
      <t>Q column ko touch mat karo.</t>
    </r>
  </si>
  <si>
    <r>
      <t xml:space="preserve">Aur haan, </t>
    </r>
    <r>
      <rPr>
        <b/>
        <sz val="11"/>
        <color theme="1"/>
        <rFont val="Calibri"/>
        <family val="2"/>
        <scheme val="minor"/>
      </rPr>
      <t>map banane ke liye Map sheet/Map Data sheet par hi jaakar selection karna hai.</t>
    </r>
    <r>
      <rPr>
        <sz val="11"/>
        <color theme="1"/>
        <rFont val="Calibri"/>
        <family val="2"/>
        <scheme val="minor"/>
      </rPr>
      <t xml:space="preserve"> Tum sahi soch rahi thi. ❤️</t>
    </r>
  </si>
  <si>
    <t>Sales per Store Expansion Opportunity ISKA FORMULA DOH MUJHE</t>
  </si>
  <si>
    <r>
      <t xml:space="preserve">Haan ❤️ tumhari </t>
    </r>
    <r>
      <rPr>
        <b/>
        <sz val="11"/>
        <color theme="1"/>
        <rFont val="Calibri"/>
        <family val="2"/>
        <scheme val="minor"/>
      </rPr>
      <t>Sheet 7</t>
    </r>
    <r>
      <rPr>
        <sz val="11"/>
        <color theme="1"/>
        <rFont val="Calibri"/>
        <family val="2"/>
        <scheme val="minor"/>
      </rPr>
      <t xml:space="preserve"> ke according:</t>
    </r>
  </si>
  <si>
    <t>1️⃣ Sales per Store</t>
  </si>
  <si>
    <t>Agar:</t>
  </si>
  <si>
    <t>B = Count of store</t>
  </si>
  <si>
    <t>D = Sales per Store</t>
  </si>
  <si>
    <r>
      <t xml:space="preserve">Toh </t>
    </r>
    <r>
      <rPr>
        <b/>
        <sz val="11"/>
        <color theme="1"/>
        <rFont val="Calibri"/>
        <family val="2"/>
        <scheme val="minor"/>
      </rPr>
      <t>D4</t>
    </r>
    <r>
      <rPr>
        <sz val="11"/>
        <color theme="1"/>
        <rFont val="Calibri"/>
        <family val="2"/>
        <scheme val="minor"/>
      </rPr>
      <t xml:space="preserve"> me:</t>
    </r>
  </si>
  <si>
    <t>Phir neeche drag karo.</t>
  </si>
  <si>
    <t>2️⃣ Expansion Opportunity</t>
  </si>
  <si>
    <t>E = Expansion Opportunity</t>
  </si>
  <si>
    <r>
      <t>E4</t>
    </r>
    <r>
      <rPr>
        <sz val="11"/>
        <color theme="1"/>
        <rFont val="Calibri"/>
        <family val="2"/>
        <scheme val="minor"/>
      </rPr>
      <t xml:space="preserve"> me ye formula:</t>
    </r>
  </si>
  <si>
    <r>
      <t xml:space="preserve">Phir </t>
    </r>
    <r>
      <rPr>
        <b/>
        <sz val="11"/>
        <color theme="1"/>
        <rFont val="Calibri"/>
        <family val="2"/>
        <scheme val="minor"/>
      </rPr>
      <t>E4 ko E9 tak drag</t>
    </r>
    <r>
      <rPr>
        <sz val="11"/>
        <color theme="1"/>
        <rFont val="Calibri"/>
        <family val="2"/>
        <scheme val="minor"/>
      </rPr>
      <t xml:space="preserve"> karo.</t>
    </r>
  </si>
  <si>
    <r>
      <t xml:space="preserve">Tumhare current data me </t>
    </r>
    <r>
      <rPr>
        <b/>
        <sz val="11"/>
        <color theme="1"/>
        <rFont val="Calibri"/>
        <family val="2"/>
        <scheme val="minor"/>
      </rPr>
      <t>AR, GA, KS, LA, MO, OK</t>
    </r>
    <r>
      <rPr>
        <sz val="11"/>
        <color theme="1"/>
        <rFont val="Calibri"/>
        <family val="2"/>
        <scheme val="minor"/>
      </rPr>
      <t xml:space="preserve"> ke results calculate honge according to formula.</t>
    </r>
  </si>
  <si>
    <r>
      <t xml:space="preserve">Haan, screenshot se </t>
    </r>
    <r>
      <rPr>
        <b/>
        <sz val="11"/>
        <color theme="1"/>
        <rFont val="Calibri"/>
        <family val="2"/>
        <scheme val="minor"/>
      </rPr>
      <t>exact problem dikh raha hai</t>
    </r>
    <r>
      <rPr>
        <sz val="11"/>
        <color theme="1"/>
        <rFont val="Calibri"/>
        <family val="2"/>
        <scheme val="minor"/>
      </rPr>
      <t>. ❤️</t>
    </r>
  </si>
  <si>
    <r>
      <t xml:space="preserve">Tumhara </t>
    </r>
    <r>
      <rPr>
        <b/>
        <sz val="11"/>
        <color theme="1"/>
        <rFont val="Calibri"/>
        <family val="2"/>
        <scheme val="minor"/>
      </rPr>
      <t>Sales per Store column 1 row shift ho gaya hai</t>
    </r>
    <r>
      <rPr>
        <sz val="11"/>
        <color theme="1"/>
        <rFont val="Calibri"/>
        <family val="2"/>
        <scheme val="minor"/>
      </rPr>
      <t xml:space="preserve">, isi wajah se values galat aa rahi hain aur </t>
    </r>
    <r>
      <rPr>
        <sz val="10"/>
        <color theme="1"/>
        <rFont val="Arial Unicode MS"/>
      </rPr>
      <t>#DIV/0!</t>
    </r>
    <r>
      <rPr>
        <sz val="11"/>
        <color theme="1"/>
        <rFont val="Calibri"/>
        <family val="2"/>
        <scheme val="minor"/>
      </rPr>
      <t xml:space="preserve"> aa raha hai.</t>
    </r>
  </si>
  <si>
    <t>🔴 D column ko fix karo</t>
  </si>
  <si>
    <r>
      <t>D2</t>
    </r>
    <r>
      <rPr>
        <sz val="11"/>
        <color theme="1"/>
        <rFont val="Calibri"/>
        <family val="2"/>
        <scheme val="minor"/>
      </rPr>
      <t xml:space="preserve"> me ye formula lagao:</t>
    </r>
  </si>
  <si>
    <r>
      <t xml:space="preserve">Phir </t>
    </r>
    <r>
      <rPr>
        <b/>
        <sz val="11"/>
        <color theme="1"/>
        <rFont val="Calibri"/>
        <family val="2"/>
        <scheme val="minor"/>
      </rPr>
      <t>D2 ko D7 tak drag karo</t>
    </r>
    <r>
      <rPr>
        <sz val="11"/>
        <color theme="1"/>
        <rFont val="Calibri"/>
        <family val="2"/>
        <scheme val="minor"/>
      </rPr>
      <t>.</t>
    </r>
  </si>
  <si>
    <t>Tumhare results hone chahiye:</t>
  </si>
  <si>
    <t>Grand Total D8</t>
  </si>
  <si>
    <t>D8 me:</t>
  </si>
  <si>
    <t>Result approximately:</t>
  </si>
  <si>
    <t>🟢 Expansion Opportunity</t>
  </si>
  <si>
    <r>
      <t>E1</t>
    </r>
    <r>
      <rPr>
        <sz val="11"/>
        <color theme="1"/>
        <rFont val="Calibri"/>
        <family val="2"/>
        <scheme val="minor"/>
      </rPr>
      <t xml:space="preserve"> me likho: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</si>
</sst>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ln>
                  <a:solidFill>
                    <a:schemeClr val="accent1"/>
                  </a:solidFill>
                </a:ln>
              </a:defRPr>
            </a:pPr>
            <a:r>
              <a:rPr lang="en-IN" sz="1400" b="1" i="0" u="none" strike="noStrike" baseline="0">
                <a:ln>
                  <a:solidFill>
                    <a:schemeClr val="accent1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Sales by State - Geographic Analysis</a:t>
            </a:r>
            <a:endParaRPr lang="en-IN">
              <a:ln>
                <a:solidFill>
                  <a:schemeClr val="accent1"/>
                </a:solidFill>
              </a:ln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ln>
                  <a:solidFill>
                    <a:schemeClr val="accent1"/>
                  </a:solidFill>
                </a:ln>
              </a:defRPr>
            </a:pPr>
            <a:endParaRPr lang="en-US" sz="1400" b="0" i="0" u="none" strike="noStrike" baseline="0">
              <a:ln>
                <a:solidFill>
                  <a:schemeClr val="accent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  <cx:spPr>
        <a:solidFill>
          <a:schemeClr val="accent4">
            <a:lumMod val="60000"/>
            <a:lumOff val="40000"/>
          </a:schemeClr>
        </a:solidFill>
      </cx:spPr>
    </cx:title>
    <cx:plotArea>
      <cx:plotAreaRegion>
        <cx:series layoutId="regionMap" uniqueId="{00000000-1392-4A15-9977-0E231D4D507C}">
          <cx:tx>
            <cx:txData>
              <cx:f>_xlchart.v5.14</cx:f>
              <cx:v>Total 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1Hppk9w2su1fcejzowyAWCfGEzEkq6qruqsXqVuLvzC6Wy0S3EACIEHy198sLbbU9miuJ268iFEo
ZFexiCUTmXnOSfz9cf7bY/N0b3+a26Zzf3ucf3lRet//7eef3WP51N67l61+tMaZj/7lo2l/Nh8/
6sennz/Y+6C74meCMP35sby3/ml+8Y+/w2jFk7kwj/dem+5mfLLLqyc3Nt794NmfPvrp/kOru0w7
b/Wjx7+8+OerFz89dV775Xbpn3558d3zFz/9/HyUP8z4UwOL8uMHeDemL6VSEsWYqU9/5IufGtMV
Xx5HirykscKMMYk+/WFf5768b+H9f9r6vnP37uu3f7aiT+u5//DBPjkHm/n032/f/G79n7f3aMbO
nyxWgPF+eXHXaf/04afX/t4/wVTamfTzD1Jz2sTd60+7/vl7m//j78++ADs8++Ybtzw32r979Aev
7P75Ixv8Ra+Ql5xKIqnCn62Ov/eKjF9SSmNB0RevxF/n/uyV3ZOxhb7/+uX/3im/vfjMJ6fN/Rf6
5Or8Ryb4iz5hL5mMKeXss0vQM58o8ZIhGSMkxOdIUl/n/uyTq7q5L037Hzjl9zefeeW0vf9Crxyv
vlrmzw7mX/SKfBlzAcmJfokU8n2knPKXELHABH/2yrP8ddTOmdHqH63oz/PX728+88ppe/+FXrmA
EP8/qyropZLgEM6/WB1i4buqgqHqYEmIRJ+9Qr/O/TlWLsyonb7v/oNg+ebVZ345bfC/0C/nUNz+
z/wiX1JJBVFC/GldURBNEmGAA1/QgPg692e/nP+Htf7re888ctraf4FHfrzEb33z3S//KhJTUD9i
JqCsf/YN1PTvYka9BM/EPFb0T2PmGUb618v683T27PXvdvL/CYD9a3D2G4LN7v395hP0/Qaf/fjp
V2D37NUfxdRn2+0//PICKyLBD79B6tMgX978F5nqm7ee7p3/5UUk5UuJOVGKxhB7nHEoUeHp0yNF
XyIqJGJCchwTieFRZ6wvAZjHLxGRBCkuOREKQvbFT86Mp0cEBlQUUqcgRCEE8Pw3vnFtmqUw3W8W
+fL5p25sr43uvDsh/hc/9Z9/dlorwxjHlMQUM8EwFYycnj/evwJOA7/G/08vNoxGY7tnXS5kVlUR
foXKYT3KSfdbM1TSJ6wX6MFFIr8VpbL7pe3yQ2R1fnCWTKloBL4wiHe7mq5TSibctImUdXQr+9Zl
ouyZ3hjkVYrLar7CXTQ+VZbgi7ksmjeUDH7Tt1KnRdnmR4NoOWcdEVNmh9imuEA27HwbrWdmaPnr
sRvny29c9icm4H+wAMA6QhmYAWwas9PzbyxQLdJOZur7/WzxfM1zp3bFMqqUeH/aF6z7x/MB5nhm
cUpVjABMIi4FRsC5vp2PRBjNRV33+xDZOJmL5qFYw5TqHGzw45ngkDyfScQEC4klU5jEz3a2jhyv
ruTNPuSDy0hVLYlaWLSTca5fT6Shu6WscuCbv0XAn5jzT7YnqBIIczhMQFBOz781JyIutJ1r9iMv
lzqJRlslDhHBsnFmdkn++myMYi4plpQL+cyYhZJAz9uq2WMUWH3sbLtuZ25xuBobdfvjuTD6oz2V
gGiVIkaKYvpssrkumrKtkd4P5dzEaVzmrsmGoTWZtHhNyqWcr0Y74ovg6ulsbYTvN9px95f3DCRE
CuB/Ako5JJXvLdxgJ5Z2jKv9MNZtmc1ucRkv8vxW8d6gfzPZH88QQxgzAGtMSkrJySbfuNMOqom9
5dW+x+t6Y6R1mY8ggvuyr8v94jSrMtGpWv6bef94jBgSHGOFOVeCo2d5qS6qoAveV/suDFOfTODN
EI8hJJ0eq782F1UMxlcntg3uxYg+m4vqKOCpVHqv8VBkw7yIOumRXc6LJcR3Pz5Ep7G+ybef5mIY
yD2VAlGGnzmvaj2PbARnaF3WgDOTi/bQ6HjC2Y/nAYz9x3liLhWHJAPHlXzvt5E3znIz632O2FRl
c6hgU3TpSJJPMXtdat36ZLbe6GS1fZVvUFuUxx+v4dnZOe0VqxNrxlwQjp6fnWnBtR6YhzVMrsh6
PA0kKdaoOObx0h5MIVnmeLz8m3z+yYTPTEwgBXEeyxhqqHzmzqngk1lzofelzOO3tuLtgcd0ueyr
rtzZuO9c4iMzd0lY5kKkeRiXaR94N3/AvBnsYz+p9lDnXX5WoKg95DqHf9Yquvmxdf5snQwcoxRI
BlQh/iy0ahbnYRVRdIZiwR+WZaQ2nYZGgYsaHvhZF1W9SJYqEmITmVAf0USWJom7PN+PtaHnyqt8
P2sZX6qIO7HlU2mqzJRKTLsfr/WPpxZYAcgbEjNAJPz5UpHqvHFN0PtWoaVO60LOddo55zc/nudZ
1MOJAS4PLhMCyCEEyLMMqyMCRomc3ptg1hul10gnXW3YeeMoe/3juZ6n80+TCSEJVEemJMig34fI
Ih1zdK4gnRtbZ4XMpww1/Zg2ECrbnPRF2s9hOcfjLN5HbVfsZsP8vzEsRuwUid8fVxnHSCDFABTA
cp7tubF9RCAy8jMxBrvsRUMgmXo1x/2+GPv1Joo5emBlrlOtx9YmS19WBfx/bWXCW8TOXTHlBzWO
y7WfFBkTN1S9TYfGjzoldbsem9Llh1IP5NXaxPnHaR6bN3Jp1uPa2DkkarD8tRjm+kBayc4niyDh
ujaQV2ys+Wte9ujMY4kvyo4uY4Z6Hd1GIqw3S5HHY9J05XTVWuTvm3xBD2sEMM5F/bImau7yj62M
WH/o2qFdk27q87PVYeq2lSjHMomFPWEEU1OUdAOh96XK8SPg2fguxHE/JHM+tVHq5px+bCZPQ9b6
OS43TlblsYghsimD1ILtpB/GEpK3cQX7WJhIkrRrATamXY5kkQatinGLSk53gSIAQ52Y3QcpRrLp
qkG8l0Ow8pXBFZw3iP6i3tZGwfR9b6MbSRzkTuRG8X6lOcvmWhVHcXrXMQPLWFhMN4MOLiRCN9Gt
MvFyhDrTvBmGJVx9Mm/Og9+QrkQ3fTyU9cGsoin3OS54fCCoLY91odpxM6xl1W/Ep2w14uXc+hUy
lMRz9GtnajiRBs0YpU2D17NR92C7hUntUotQeUtnTd+OFjVRSgrUXcc1EV1WURgnlLo8ct8XmRuE
frBIhS7JrV2KnVpVsyaUQVGoiji+k91kSRIRsG0bE/3QFC3ZYmvofcWGqEkgaBqb5Lpdb1iIZp/6
2s7XaBrmK73QqcwExfrXhntITStu3uAF0WYTn85hG0x+kGMVinQppdfZOmMAMLg167abGjhLovXr
sQhLkyc5iERL4t203rQsQihdW8A5Y+n6Ja1gAy5pq7DmqYMDtkGu7O/LUKAzM0s4vaym87XNy9mc
jSUwBs5MdMvLGgyGCroci6ipDrVsNmqN6my2dL4yUTNsfSXwWRFWsxlcztIlMvam8KXeI2m781AE
muq20RknDh1x3K2HcUD8LBYsvy282Bg61vcD7+rjArOlec7EVbuKXa3XPh26fN4hXcXvpYSw62m7
Q2bxSVSPcYaieU0JcL4U885u1WzalNquqVOwKnmj9HSli245VFhty3KIt2EszUFBkCRlNPZJ3QaV
DC1sq6mlTcu6brJl8mNCHM0Tz+h7K1x8LFp9ZWcvk2mK52xaJE2h4MRbNug7nvN2s7ienDesSdFY
s7T3XdjVqkVpveIyKVfEM9XTNdGqfOXK5UH15L4fI7epojbOFk67hKwT2UdIvhu4y7tkivsmXWYJ
VW3sya9tTA9rLHEyEX1Zch2ymvLbacrPTSeKd74n66aky3womxYSMD1hpJYsl1zH8dGvbrjBunGH
aGJ1tq78ohbDIvuEtpVwqj4lkcI9DajuzxZsqjHp8ikfkqWIqwM21OAkjwpxMbIGFmQaGqNkWsh6
x1Yab+fQ5OPGT0Sde4yHKwBKtMwCh3xRC9Tc2X4p7kaCwuvFMMAPxvWySPppXY61WONN3nKxpbWX
H6pW2/3c8HlfDqqFSQFFH22BXkkWwisRlmUTr+O4OdUflsymn8pU90N77bxYUwGR1uxpRAEKkNrk
qV0Ai9RyhlrYcZdyJDSkoi4kBc2hIohCibO+AuozwvnLWoB5W7UiuhvDRPvU9qS9csi/Ec06ZDjo
6ZIOq6zSojGyyjyvabVlFWnPo97V266q2TUaZ7flYize+qoI5/E4Z17n4VCFEfmEyKB+javZ5Qnr
iNPpBHly3ylbHuIBcHtCgnRn69TCwawAOwBFaKKbZrFi0y72XWck26LWT+9H2smPns71kvAOk1vS
MvF2Dqtad4jpKF3GMCe5GQGPdfNw1q+rupyjgd/Yxi1pbEyfRn4QZ8Cg1ZmaMfFJj0f71BMpN32o
lsPg46NoKTqq3IYmhZ7bBWWqAwjTid0oGnXT5ENeJnmcx0D+q5KCTGHxbaQjUB98ow7gVPV6ZuOa
QRFufNJFE32cV+RuhI9ANRg6l0kzkExyOAK86vpkyQu2CyJqtlz6aROkpnf14sx14V2ctDmu9nk1
kCNYUGdxO6XDlOPdxBgcbNUdOcgHad4qcl0MDTtjg4gvVFG4xPYre52zAWetDGbXoLXfNquT96OH
LUGiGdLJBR2n0hurkzpncldOHWmSLmCXFC4v3nRoji9HJM0VWnOA/So2POldVHWbpY4MTXQ1Nbum
7sR7VnMQccxQnM8RkybLc9rsl0gtTx7o+IWPw3jjaTTLJO7V5NKo7qCmUxVs2pmJXQJj73d1KwQQ
AGwODV48RJfvj6Fqm+ueM38l3TyfxYMrVaqVPGvn1e6D7KJkwrk8N8OcH6uxkztaTO1D3Q2Cb+pe
DW9pwYYt51X9UbFW52kverOPxg60pKqxb4Trf21h6I0dDG1SxVbSpC5fp3vU0ypAEnDRvuhHwLLQ
yfDpUHYso9U6nuN80Sky1QY8rjd1Sx5DpPpMj31eJ0zFbtMVxXIUajQPAnfTYZ2rKJMKauBQxutu
YUueUVn7a4wm91DZGnL20EDVgCRg68KnExVDze48GjvhHjkFrpgg2s3lxzJahtRr15QQ2L4DmuSj
jwMvu+PMenKpAxvvoiKfHqjV8n0xKtslXaeiJpvRKhmUvaVtRJuCItKdRZwuB0IqVWxaPr1dPNaX
qG6HLJJTg5NqqEyiQ41TQFHF5UIWkflmAFWDDPmemWaOYVV+PqNdhY406CZr6gA1w5BladNmHDkH
dGnKMcHVMJ/hPPgDtm0/Zp4SA+lsWYvXMq7Iks6MjHumZigjGNQhOJeNguzj1uhWNwptVW3Ab1AU
djHq/aFf9fjYAzcChlE2WRe1YAUr9a85OR1lUJTQsRQ96RJB7HzGUZy/WRiJ7yPSRx8JH8NFLpfi
lnVrlWIDw850Vne401NCRmZ/zXuqAU4ilQ5O3wEwzjc+5ygp6+EVj98UxdolywrpNW9yOFTtG8Q6
lCAZvRLTXCeV6NYUCbmla8QT2/klpTVqkxnASSZEWSa4s0UigWMnXUxNqmb9UDek7NIIeHIylt5A
qSzOyByR7cjDk19jtQMuT9PBErWtsRRp3fIDcS1LsZ5w0rJxKwtVpEySKBM5HGdUzfh8Ye1uXPH9
2sPApRnljixDnbTt0uyo1/PrgZMyJaMsjlU3fYx6FCfD2nYJnyZy0CDsbhyoWQdtl+ZMIZAHyDwt
EM923PWlRw+1xyoBjg9VB4DQgY6GbpzSw7YN3l0gP1cXNZ53NS8AzQPgSoFU88yH+SpwhJOSzvyM
2aFMUTtJoCZ91oyyhAJh8usZO5T4puq30rsnbyOz6SOz7jDXJmkH9atdonZrl56f+x60g7VA+yq4
mzGO7jWnW5OXC+AUddm17tBGw/vQrldjnR+84Xe9zY+QckEwarQ/53b9WA3FG+hYvhKk2/WAptOu
au4V0mG31iBSCq8eMEMuXW0xZirC7M402m6QIQ+zwgCsogKSfEn2Dbc+UwRtq7E/n0sRkrHgj+2k
+oS0oGonLAJGUIRxfLvG6+M86T2vRrIdRKNDuqileIt6V6yJtbI+UNtPybIsiTY63uF1Mw363TzN
7gz6ARdsuENyGm8HOahN6fRrERflmQiqTu0wje8iYuVmDpM/m4DDXIyjjc7sXJ3CfEEHFmvxjjva
7XQ7cJm5Mti9HjjIo6E60QmhynlnAgYIrW1NkxXz9cJPLLLbsp1fMcLVB8TFEh2ivgFBJ6mVk2hH
JhLicy9b56pkKKf5uiH2NB4Z6up+AdE5gHCBc78vWg8nWoS6twmomrTyCaoavMWuKE1SAx46E/Eo
oks/eqEzF5lqSCIFoil3AShnrXRqR5K/l0Wdf3Q5hwCEWaHFwHIJRIRIIFIZkQZoUQHHfswMpBfQ
mU49jcWM+fuxAIKQRwNwDEPYeaXX+XKAGvdGDvlyjCgDlqxFtPHLwNFlFTE9bbxagHaMAtJScFWc
dvjETrCep6dqJeGq4gu+QLhet7iw9aGsQ/6+aCMQuQsq8CvsmN9wZoGJFOuEHowJnB19OZ0or/Jm
SUvWu7dDNwF0aCKOdj2O7R6wPQwd8S7alAYIesaWYt0KLIBfBe5/5U1LMm0B/iW07K+ZXdMaT92+
64sqXaHk70ntoJC6OD/EJQNRwAHJl6MAjeDUqfk039TTaLMYbvc5j6FnUzfTDgnavvv0EyVb8gpx
oP1GVGonGFvPSFz39671wMFmS0AlkHG4CivAngjIJvR61o6/VjUYU9uSJaj0w/aTUNw3M7RRZiOz
sQbduGl1jxKtS7WLFCyxLUN94Kvvdrxl7q3RHjagKxgR8sh640B4uWa6we/aEYHXuxrBmsNs95Z1
83U9A95doxKdrfW4Hud+WXw6I9gXbUEL7xnQvmEqe5OypRp2ANWA249jI2w21XmoE72CKgLiJSSD
EQM7QVZlhk5s2Nc5als4/2iNLpQp+nsQ//QO1RUoinI9V9Y6kuBGeZBkhtyXSVesZuvrEOhFM3h0
yXBg56ZaoUO2MhCv8rU+fDp3ke7W7VSBB+LVN28a26w3pXccaNIcndZX9vnHqAN1LYmAZt0048km
zQhdNgwfwVfzpRETmA1EypTifj2SDnc7c5Li3NitR7Hk4WptgsyM0euWUzgBniIYW02nAZuKvy6I
ijaqnGTWNwb0fNHLbO4EetcieKXuqN2L7vTUeLAW5jMcWByL5TjBQJtltYplQ4jQuxIzWmW1r9VO
Ozj3ZQTwGgvQWbNPwhOOSP5xxRREpQpOU7zCoNUcmXuQErs4g3I+3Xky4wuFQ36Yytzc5yWar5e8
hNCJSghhGo/Qmww+P+Q9Nve1cH6vhjmKk8VNDZoS2+T4FZAD2GFHOMhfeVHUgIDz0O1Up8kF8Bb7
1quTeVvU1IfRgJkmZ8irUPsKkBYsnLi6/NCubX8/SA1Tz6ObDo1f8r0HybVNRhm5+3Up0gKBIucH
eE9ZXZ9D8n0YmZvSEmugHr5/7JBUqYJm3s5NNj8gD97xPodgnyEC83FRoFh0auft5DeF4csxBgn8
2LdT/t4GtrB05Ss+bwqCr7qY5wfWxLByD8yHZR2kwx1cIwDxA9qiMmOnUxB6kOZYz0BSYJROaS09
cMKgRjglYkUPBar6e2hFRiaFXizEtLEszwyw0+2IID8qCpYqeBHdrkAIPoq8hw0rfzqDFi1w8lif
H3RB2hxwwLKeRWKUmZACaJ/k5fQkOfDkFAjG/M4ZPf86TxK6UA4AuQUptS82JcAKqIx9NVxgN3WX
ZfDjrUZBfugnmn/UZlaHiZXNkhQBKhPVYdguTCxFojo4AZMa8vcVZ6xLnI1tngkDAnfW9Nosn+Xn
L1cLvjQvP7fHH02/WF1AcH26IvDbx3/cmhb+fror+vuXpwu9v386fr0J/MNfwW3K0y0B9/xHp9X8
NhbM/mV1p8sF3334w02Hf3GX4fPF4n/x8H930YFQon540eH3S4i/34748tKXew5wmYHGGMMNghiD
6sQUtBC+3HPACG4zwG0waJ0SRKBtCo++3nMQpyfx54sR0Az4cscBrj/wT7eOoS9PTu/Jv3LHgTH8
vcSOgcSeLlHATWZBcIyfd4ntVMtu5ng4UB/NWUybLdRiv41bL29Y2ZUG2EkRdaA2livb1JaP0V3p
WfWhEZwYl8wRMG8g2C0E9i4ao9jejsvQnAMi19W1B8Hu18lqIMwr7w4lLppzHyoCGLK22YCg1XYg
c15vea2mzE9Vd1H1Q2Ted1CdjtMCIv+uXfAOdMcpLdaS9Nt2Cla9n/QSyzOJAFFaPyz83RTmUV4v
hAkIAl1eVMR4uon51HWpKnqp7ycfle9GUEfaM2NNXWx7Bxr+hWdQlYtt1LSIpiOqdTknbYDOUbhs
SgodxK0cmrW/hDoC2y1nZ0UquqWi+RlUp9jOm9YMp2ZYxyiTTQLtCkVYVo+izS8lWfPxRJbAnkOi
oTcdhjRnCoVsnCaBQVDJMXoMoXFh3dSlZgEldefYapOuMnmdtqNdI5CAxi4GRgsMp01nr2jeJKVc
B4ozVkE1TGs+FR3oWUVPSlDkZTWatfqw5sviWJ36FpT4bCqMpkAM6VTsSD3n9hI05WiPQmevUSXz
ZFVQO0AXs0nlym5fRtG0K4Bev64jPuokdmgF8aELN7gJbMtVv9yLvqo3oRlBx6yXMtPGDdtJtvWF
jQCxG0fbvTF+3NXdNPhk6EBQaaZm3MtpTsVY1tu27UwW87K4YgSEmqls5ozTos6oZ3FS8cKcuVXl
N7YN7du8izzouXkjkzWa+iuo2He1aYubuBjcdSgncdP09fS+bOWcFQrnB9uX8w2cB7NdJqPfNNAu
ATxulrd1Cb2lFHgIVB5B8ixgLS4VQLU3ZT/HZ3PJo6tozmcPmTVS20nY+CLnebOLAPCsGRagXrzp
B8kSAS3Ju4Hj7rVb5hr4aF4Wc8qqIZ5BEbdiTs2yrvvOEs6heLh2M4IYsw+g5+xCUxdv4t7E52qF
CpTgnoVbEOJA3pfA0qoTOmw+4kA5NDfFyuYELjl1m5qYNVkwYddWr2IPxfEWWjWZq0YaJzSexQVe
+qJIAFg1p2bGOF2NRUHO8QyqP1zBGRNfLeDrETrhN2XDuzfWzd1uykX/EEj5Fg92Sn0j5QE8DcJ3
H9MU1G95XJdmvsm5Kw8dne1tgeP13RivAAlVmMljZSw6j9ZOAPMZYnEIgHK3tOqfToXqDBjksCnn
egUPigpgsRzfIV41b5d61W/j4DVL2SDrt0PUqSzUEGE88hYgOCYbJYLfaqC7wVQ8hUtRza6y8XLV
qY4dwuwUsNmlrgAagepzhStdJytbqzKBCw76usur+TBH/WxTAxAITnFRJSWTc5NoH7mMRsOyMWHs
05CH8mQXnwhgT2kRobRnLhwMNHqzGLSUN1RE8ZWP7J1e7euqj8SHmZmaJEhNCHSwAB2PlPRrdSts
Rc9btOSgBdA+4ZWDAq2LvaJOHJdgBwiN0b1eGwl0xiLzyEckkx5aLNdxrtaHIRg7JDhq5kS1oT8v
qoLeFSVlKR8aQpPQDgsI/dBxowSP7z2Lss40RZrXoCatNcZrWs32AM2w4t7FpX5qAhlTNw0XZMzD
hvEwZ8C74ncEOqhnMQgwMplDWC7IDKiX1jzAbQBPIog4WqJLDNByaw2OykSBRnpTV84N0AbBatOM
M76cnO7ypMk1IM+yDdV8Rko/vzKBOgmacohfTz6XD3VooVU26pEAEm2C2uQgVbyiUS4vzNSxe1Ch
zLniueUJCHOQ50YUz9cF7vIesGbpQB8ByVoojG8XHLlLUPhHgEdjHDIcM6C9Tpd708IdvaRfQIqN
MDGXToN6rwIzqUfz4wA17xUOfNkXUe5SGBTQa5W7PQMBdecH+j/snFdz3MiWhH8RbqBQVTCvaEsr
GpE74gtC7sK7gsev3w8iZ++IipDivq8iZloiuxtAmVPn5MnM+drqnXQX+I3/VZET/ru21DeaEA4Z
/Nj1u6UtlxCg7tCazGKTW/nNNCf+TSDz/DqxazcLs/VrYjtt2NpFHap5fqpt8zi3qw2qahJ6r+SM
KTywYwrFiNbXGty3tBIPFqCU3Klu6s6xldwW+Rgf1ZBGe1MZ8T9wRtQpizX4Sut9zdbKf2iBDXdJ
W9QfY08QQRLTXE5ZXh6MiXRxo2sBMtZV401d2fHZmuYlpTfu9iclRH3Pyi33FT3Pu3Spzbd27iyb
fFQUpD3Kf47dSF1yh8vemZpqV5NLN2GR6/KujCx9LJylvhBV7+zszp73S2en15aJPToWVX3qh3nY
q2HuPznGJPvCr6nlvPyl78SXrG3y3crxeD1OZTxsiEZyp/y2DKuupu1YJs5ukXP3byHH/EC/d3jM
bFcfRjWZA/SY/Kh8imdprOgRELC7pfLvT1MgW+4iNR/GOJPikK0BaKOid7+zTGJdTMOVSVWy09VE
o1cVL+08Dcd48vNvJXxE6jebefX9l8Qvvps87S6kxXFve3m+bzV/o2kZ0FfW7nlMe/sCuEbtx1Q4
R6dPxfXaWNnXIPM1sTOxTr2urFB1UXGf9QW97C5Lj02ftRcDCclhgM5yBgLtjt5M5mVNtT7lTjJe
pWVNj7eYm3bfC8va28tK9d7U40F6XfW11xMovCo+pkMsdsOSuOdplO0u1TermppzpUo6uU3gHGuh
v7Z2cz8MPqlDWmU7YPwTIdoKF2n9JVK1hAl9xmOar2QYhU0Dwa5vvcbce3Z3Crr2tE7lENplPu3t
pHrwrZ5ivV7jY2UaP2wD2wndFGBUJQnlfBEf6YLcyNKyHoJunk6FOwRntWTxfpXlPS2QO+qO5NhT
S4drbVU7t1jug3EQ+zzNi1PXN/W+X5tqr+LaD3UyiFM1ypUg7MkPVj87IbHd+wiInp7XLAI91uJ7
G7nWARyjDNNyKEMnbTQHWZ5wHsjhfkL+8jUtl/bgWSy/urPO7jxW964F5Br0axKOehA7O2iGi7k0
wTmrYguEbPUvy365L1L9oiLv6Qe95v9rqVfZ0k8U+b91Ehul2tnog/9HmP2FMv6Oaf/PcorPvRVT
rvuvwJPSpfCRbiAgCv9dTAnP+Rf0Qc6eQGpNZg5b6K2W8sS/6Ed7wAUblfw/xZTw/xVIR4NsC8cT
UJy9/6aYktSF/6ArbVcUDrx0COsefchf6UoiM5WYcv3dB94dgoPTqMaiG9GM6fqs9dDkn5VldHes
2qVb1B58R9MWsOoIKKIyqrJAiefcuwwSDVqbB1bVnqegLLqbQpcNZUCd0+76ogFn5npvuW4BABtD
hBXfPZCo4aFIZq/47NPwir7KUrbubeymbUNjVaQdt6IabcoPCX29qdrHhTZ5E9aTLksOtqXllsGJ
4cQ4payyf1vdCPPjvyJeKzeA1qdgP24kREb9PXnVE2U6JG7if4+mGn7RuS9Voc6FGqmr4D/FPW2A
NW0KulB2lDrR8R8r6g3F+CepfxMO/DRH0IIlzG8kB5KZ+oX8uWbS71zbTb9lIpd5uutrqSUZTeBY
bXaE8xXTwDBUhCoJLWURje4mJZcO8ola3Ule9jQduzysazj44hbWXsvvfn+TG9H1P7Q35dlSSuWz
hFxBrs+y5Pf/IBbPCWS/xEjrG3zY0Xb28erFXnssfNVLyGCmd92XXNu0EH5/3Z9JqT+uqwJUUI62
Hcip769Lz7f2akv632KapZ0bjnZTdH8liuZiHE5ZOqQfqghpeM+xUTuOG/7+8j/zcrfLe8oHA3EC
CmWHPfTzY8d6TC17TuQ3C90E7VZqYVd/ZiNZ/UW9pl5xm1qiFjcyb0kH8s62Cd9dkhYMyn97Jz7C
ExStaEmQkah39MfEg82QLbb5ptyJLXdcaP2I/KgRhHTqkPqRcl/MwBC0Yed6nvtSgwaa4DCmtd1M
f5gVwtPPq4FOkoKH6W8KGUie71ZD76Z2tuRV9JWaoNLmVLdNGS0HKyq7YDkh0ZhZIr9/fvEuknk2
EIRil7BRJeH0Pf8zDtZMB01vfUlS45XWee6TbUOUc50gQadBptaN7tUtoJczJCkGQqd2MjyWjZst
u8oSpnoMyqQ0FYlTbZyHckyr7svvb3Ojf/5znyDQgZG+UcU9Yrh0OSX+uU+GKfKN3a7zF8jahkUA
L8tmfux5ktqCwS1H67Fx8nbbNP1Uby/UQsMf5ueXwRJwuJUrbTfwlVSEtp9vwycD75fOrb9UhbaI
4RnRa50gT9n9oq9kpIn7XTxgGFBmpIQFrKPSCH32gRLGnB4h0XaL/EvCpypK9vEK2k8Dy+33wyXe
bzAkA2iCQQ19hxmG/f7zjc5yqpqgWuWXLnJcqzxkfdcUw1279inJ/dQukBjpw5cjv6upcepl75Ma
Wo9T00QXXWAK2LXlSpJ8VSZt1UfkY7Yb9btB21bx4JZBvJY7tEQzIdGxskVUlzYcSr41hyHVtn/Y
puJn8JJI5QpY/AHdcrRJmsX68wOxMqt2hDn74ulaZ3DybF+zFKNoCAIoSjDICe3R8ho9iwFBFW2u
LZw0UGj41Tz10m2PA+SNP+4h9T6KO2QbARtJIC/a9u67ZZHPeQcUVDcvjWEXtQfZ5b66cUQilyvZ
AZK2YRCNxfpcJvOyeDS4zAQZgIA/uQ9xu0Z0q0sy9mdjDZ1769PWZ5nMaiyL4JQPepueupMBS2gZ
PT0+NCbL1+e1cHNaeHZRbIdWyugzQXUV0FEMJfn3+uyX88zcSZ0tvHSrHfc0tHQnf9DatrnL5zgl
wWh/XD7wY2uZQr+eM76iJnngzlOr2nKDvtFl/nmmS9c2x2A0YnxUsl77a2PyyIRFURqn3EHMKedz
rDhcP1V+Fann0R4Fi8zzY/KMEViQFOX3i/191GT0PRwHEIZuCLr8oTD4xxkqo6WKRdAUL6soO4rA
2bG9pgtBj+riQg7tRKD4/RXfRyOEFQoMn3NbkOb8csXOwLSdSjl9gr64LcZpUFv42xjSHN7u2Gr3
JcrkyiIEh+k7iNIEFtbp729jS2d/ioooIhBGclZoWgqKLPnnTbHKcWhhCZTPpYLnLcO+HrT1vW6T
lmiU5F0lDiYCI78bOx9yYNgkuo4Psd87Yx0iP5iKMeyduKU367uPszSFv4QQDtzxofeR5+xavc71
FYvITsLMVlEKxzRCr8RmT1DUPNQIhnwJjS/vt50/QqD+4HDeN5BnciPnPykw3sc1NAK+TbrBU28y
YGqCn584d6MEKVTnPY1DBefloI1xSGJHgPMpVCRZ6pyIaWbZwk+XvMT9j8zWQkS17Qpo1070GM3u
tqSdNl1Lc04bR24hsl07WxzbYmy69LTqJWfXRSBvLFix+CW70xMt2+gPk/gusvlkQD7HJlGNGRS/
KCFbWZVrnVXOk98nkr0FP327gd6Sw7Z1f+xjx7YX7g1GwLbFiZVbSDFNy0FDf5g0Xsx6+1Hd5l3+
GbjKU+cUSJYfQb6v3duonXlXmgDsi+MSl253zC2A7mOD7lN2u4Xzgsf9w6O9yzJ5tGAT1gq2io0+
8b1UsAcj94qhXp5kPG6RqjctS2st1rT+2tt+Dnlt6et2fYaMtJ2PpVULJmR2yyJeDmvpCto1gbSG
6Yks1TAckwfYU13KcSWaVKkVsMTUVDRbdBsIm+fUgavi7HoyEi6Y9pHNv6ixBENRxoqh6Hsvsfqd
LoaMLZEETsa/XsdnC4X5598Pwrs9CrtTkl15jgZVAiV5n+qKaVXu4rbWx7H0aqLDa3rrJP485jsq
yySu/hQW3h1H2yWVJLGnp8h/ZE0/bxKbbhKc09n72A2CFdIvfc+C4uxnfIDoVa0P0YT2C3ZRgQbN
nIsxqkhZCHqM0mTmor/z3M6PsmPUK59gwIYcHwxSfU6A0mLj93PFQfU2bXE7VQzlXPgVe4VdtE1H
nM/bRFhZKngJliwYH+y6rLkTnaMEeM7dfqtTfz/aaIh/jok8/HYIECSEANb8paIiHeys2J6Xj0my
uKBr/ZDLBnmbHWW3rrMqsxzaxLiAWgHScroGxrRpe2kXg5x12JDtWFcGFpO6icrEkzug+Tn+aqeF
fZ6iQbmQ4IHev6msWM1DWbsl3lgrvZMPakTSvO79rAo0Mgfyx244TpP2x1uYf9Fcg8XapbiWthHB
vqpMIADt+8FEIXKNdqVLgehEzbt4zkc2w7gaJCB0XXUGMz0A91ePLmwMFe+QvwwT1MRgSkRE/hbF
/UWfeGRmOw/Wy7pS1rIUoWXnSzSEbddk7nEMvFjudYnE4uPk1k76PKgijmgE947YLdSnNdAg3Oxg
H6TOlO9iXcRntOL9vq3tab2Kgsq2T2ISiXOMrc5P7ENDS049LXqMc+spQJYzf5yRJvU3VtdX1gMn
hjd808Z1zdPq0basw6auRdLdB/Na5KcoBd04rrXyyzqE/yphaXoGeYP/RZSZX32jC1yP856lsrTf
g6GfJjQYxdSJ7NxHVas3TpWtC/cUAcy7t4HwrDw/jW7jQB/+nviV7BnlWUjfqJtV1iNLehWma5J7
9GS9ax+qSjWNB04bpUlxXek5b+NDNsb9NF5POorTFKSznAb9EFWObKEwqiT2j6wVV6KPHVebY73o
/BThSWwpt+33SWTWbLmY4s5K0tOUlpw2uzyYFAF2bNJB/1Vbg6u7CxbHZEW7SZK2iNuhIesKwp5u
9+x+KBzP46V//aGVpvRP6DtJxeVWmq3tl3VoA2e8zFwoh85ZwJzyvN2SadrRp7nKBFxrrcbtXLS1
lfI4sdQcKp/naHEh/WY6CXT8YZmaqfHussjKpuLo5RL68EUOQccfP7iZ1Cl6miDYMAnP9DrJnz00
1tZ6pVTRMVJwtQnZN0TtNtFXloyMV1yLtE1FcZdlE63mA+2hqYsP2CtI7p2Qtd3SMlqF7RzsOFnS
FjFdnhl/X/W2pau/nNipuB569iB4grfYtjtD6c3IOv4AbXNEHARJHMmejklZ6D8GW06vko6n3zWJ
gDF0zJJpGzFZQEgLAIOT3nqsSm8L+WrsY6jFwQRB1j6sFfnGqQ/oOgdh8/qosB5Whq/NPP5wlnQR
VysSQZFZiXSbHtGoxNH/Iwq0W+gKVJCBJcGJMEyFVeV+or63LQVNezRpSqa1m3yxIExI/UQPFjOo
hnZ47rNqSCvGy0rW+pQMqxLzjZ952y2nzHSzPrqsLK4g+VX7JbLmbYG5tKmZeb1Y/KwIym1oxhF7
ADqhPSI+7mGsOi67e3seY6RsvwC4JfxM02BwH3OtooDu0xQAAIWNlwjG4m31RGsX8JUeLhj8LuqX
H4MxsGrM7i3HRUugt39JOAc3Etas9fg21Nbr2/8e5Nf3gRQ4+Y3nYHHh7fC+SMYveeo2qTnBgFt4
6NZZsSQMY0fGqf1IAR7XQahfJ6pex56lRuU9mPiiEsES6VDkybi4H5AL1ozS6JQFb3EaMDazA+aI
xiDMbYijqINK6AbsUS+22y/B6wjWDTuIuPb6TImTUqPtmrpyJ3FeaD3yMft1al+XhxvlBePjKvp4
9kF7xfbws7skrNNYmO0yiUpcfrjAEPGSp9VK1dBf8qRyG97XhbQOy8Bd8pDbt4jUdHwOOxzJ6ur6
ZLv11wG1VsQ/9K8LWStUzxDvYV2uEF7m5hSjreXTUzrU7Okgizfko5uY33T0nPaLcOOK5dNpMlYe
3owku+ieqK35QmfcXmCFINXYFZW9bYdy1dv9VwPk9elpKOIiTo9V7PO9KOxELM95t3iiv5KvayXN
uqD3Tm9DHmQjVNzDnMqcL+EEqLl41qQ55/wo2tW1n8jcMn/cQ/bpK/pZXYwEBNJEUlMy9UUDtlkA
GADZME3JcOHV8badB85XfpYvg5v5x5xkcV4uJVxeeA29quGmotlTRTmGURdT5+OhMPB+aLcdLySN
urgtWyRut0s5gdtpexJARS1YfnE75n0EKDCZjKuLJK7HZxddIlVAtKzb2p8CQnl2nGXrEGF8k8DX
PxQlR2x5mK0qCuggBxxV8yfbnTPiDSqyOs/Pb3AyXcDEZMchKah3vy6qU1KiTUsYjpP8sWfa2i8Y
sA4ObrQ+y8Svp/6plVOC5L1/ffQ5iDuGSDbzmvNE9NU7fXBXWxDlekOzutqLudlWDXjVtsRf8VO/
Q6Fih2Jwtuft09ThxbDAeX+bgj5aYVqs4MqBcvIqCIEsFre8kY0wvMPFroBFTausY129giyroNke
HYeqNZFzEUftynesr9BbRFkOakizOgeijERO6QsBPa8rOqMAE/qqzN1tPyFbTgHhEfD1hEo4nQtn
HqYdAcNMrbcN3pDKDSpAp5GDxWdFBZXpCkkGT/lpIj2LrMsp6oxJbwMJQSIJ64Hj7sbLI+n292pr
1UeHOcqsJTm6U6MLFM61JVyYUIBA7ouKpaAk5zAMmPzVUitP5VbldmyUOtqWm3GMYPG9jmTW1yDR
MrVxpricVl1G3n2+DpP1aEimQRXWpg3cF+It68uampURyJS9PUPUVBbBn/JyQ6mKlHyVzDoo66l5
cYMlacUXBfe0uHXdtlmiI2KhDpnTlIpsjg6caLLQYVeAf1tQJ6AgPYNIwtT9aMdtFkP80ItM5ofJ
I7dpvwVjinb+Uxf5QBMnkw9jGewsZ+3y51UNjqrDgdNhptiHCEBO6Xk6GMTAKi+zwNkhS1ssbww9
6GFq60//eJLXuWybDIB4p7VEhXKIfoSbohi3+IeCY4smZP/b5k27cntH9QO9jzJn+xnyb4t3LPGy
vRGZvOYdVO5bbyMtooatHJMtRrdrv4jmkLFRt10ZlNtv3pYsOSWRKNA0e2gB/IDgt3BqxTszL0Z6
oXCM7d8NiRdPdTjZFYC9WlaYeRcTWmM+FFvrBgd29Il4UaRl/QXsDNY3RG4mGNxyu/M8pdP48nYh
bQKONOjUTPZrxVal2eohe6qaQd3nrwErfwUaW9RzrAak0xsIieOIUWpfxmVbR2HSQqN8HFLd8Mz9
RBdvvEydeEvjUAVxDQ/JN7c1/NhweABwjoSRHrZN3jhbm3FfTfO2Jr1odfKUXnlXleUhyTDpiI6v
AwIOvAW9HO0l36s6YWVXiSMLz/8D8PWuoAfLIT6wgh2Cm4snzTtYOenpIYBXO49JXbvctRfHM7sB
QkNx21pq20HFCPBCrz1tt3v/Q3X3c223Xd7dejW4RGjB9d8VtmaYa2vqPKCq19AI/2LbV9QB7KTf
X+odgM5uwozC5lpAVvzf3cr6f4CK8ERaPyKV/HuN2Plc17u2iZT6gCHRtroDPCF4GdKMGa6VUUzZ
W3D8/b38DCFsNkegQkLz8LTDWefOz/eCVY0DfJvFjwFdNfcl1WLLx7sOy5vDWpM6/2mcf70gNGGA
A8R2iAV08A5XzBNjY19mRw/tXHFQxOhp+gtvyQlzbzv79w/43oSEJwS7xQIOSyAH66H3QOZcZCqu
+sJ9eIsYU7JuoP2CKEDr4wytbDxmTbSa+2GSS7YvUcOyzaUhNFjdqjiP/nBHP690xpxSavPnhDKN
XoDu4M9jvgS2NXmLbB+K1001kdexx2eEdcT1FM4ZU5CoYWFnBpLDgdTCgrBnkfzIdljxsKGyP+pS
1toOZ0LLApevaXk7+yMSt7CaqSd302s/q3kNs79/iPfTyMQpW9qYVgDJopZ8P41u0vaoK8fbpMu3
yLT+SISaTlfD/WL5g7r+76+nMfOztz+/+uN4M9kIjjbD7duxN8dJm4V2TWStQ9Ol8X8FreGMhd2K
D7JI4Gar/hIO5BSBRI9pdvt6LJEkb7Ph5QX7osLig0f+/QNu8eU/XUjw2YD2k2IHwkdRIJrvwt+0
rHNqVp2fvcoyGEN4ZenJF9ewYf60BX+9FFPn0/byFZW+9z7UlZGDig89yvk1FRk16AjryGlLXn7/
VG9UjH88GFghlwogyPxozPvv47pt05fx0qQ7mdWxk+7g6HljIwzYFA31vztovr67w1UGbDWA9bxS
LeKmEfeivOK0Rs+A6DFvQH6uHQX2YMMZ1DF87oXcQNe30ZzmYl52kUPL6VOHWRxlkMkcVbWHshhW
p0dsbrtdiYWcBmq7lrOopXsXvPbzcpdiRH6IqhJiKh4xyRhAmRlGN0WVa2dQNc4UGl5a7gvMopiK
twTFs/hYspmCbEth83ngsHB/hLHXUiOfbEL3lJQOoZvScEsDphHivXWu8U4obitn4A2kWO7g3cqu
2JI56zW3wYUBXAX6nS9WTAa6vsT8ruoMaqu923gFrht/Qx4tx2YSviUyPzIoOmsT47uiZyVIeC2s
vgtqi9x1Do1fc8kyp6oYL226FWm8K2bEnukJPL/IiidJ2hvIW3dBHNBcZK6Nc9Il8iv0eLvltQ4L
pqWDH5nkQwnsCgLj0WUIs6T38dGwhjqeUGq3EvaQcxe0QeNNh7h1lW4/6iUY1/oj/Yato0UOaDvu
bd13NBE+IlyEr4+4W0EnOCamFSLblYKk898LpWfnX2p3npwXoeel92+BzaLmvgqCLHcOWQXdlEqY
wIFbDvaf9NIPVb0wt3v45CueiJi/gPbtSM2E9neLQsN3jdC275AIFxjhUU0HvqEvmiZwFpVd9NMX
F8YiYoRIkXBXYelVJcYaIC/WEGJIurXc3mJRSz88dq/9kridHSuY8BCk3/IsgO8tT1yqfjt0XpcG
dECywcorcko2E8CIwX7P2C42JqaLa4/bcHKo4FNujcFHgnjtPzZwFotjmepYh0kcT4962YwBl3SK
Tqka5Tm15XpRmnk8g2TUD55xnd0c6OTWS/vCBjMezceIRX3G2AEFCrsvwTuhKf6K7bTeI7+GI+3j
RHii2AVScip95Tf2S52zHaupca/dKW2wHkoSZtdGvZx5szpkdTp8WLOitw9k5f0BSbQsWLFu+TVp
hke0Ss2VUVZ8VUJ4PmjcWHZwX+LzWA/BPgkm/95rkpa+fpN+S7s22hdJE4eLqqq9joL20l+d8rjg
FIeQpdGKr/aXCgJq5R0nvvLCpx77YuZ6QJWfRN/aAAJoPgv8lpYg08cks+vHBnPSNSyAaLrQknX8
hGbC/1xYlaaUH8qPk++kB9vp7UtlB0ka1pYlr9GNrEfTd9X3LvOie8BD5IdJL4NvglYP9YxoxMPo
ZAlk3AU5sejK/qEbFYADoWCPhmO4lN3mvaXLyUccEkSJ/1eK881yAQNh+No5KhOHemh6ypy0TJYQ
kZ//3e+1V+6tyDKXZQAdYa9En93Po8ypk8r6Sne9QPvjJ/VnO+ua69lT9lWHbIQVGumthxqP0+VM
OnsD33i8AP22LtNcJgjriX7fxDShAFpXH7Mh5ATWp6lpp++tZc1otMX6Gbl57cAoaKAPrmvHyk2K
BksIUZth36xTPl+6Q9zGoS2a9HYRHoGYkmo3ThJyMnalRXNp5tYcnWZwrnRRziFI77Oelq9IIaNb
Jdg+Yzf0e6BFCLzxXI4eMuxaHpTXV7dNosynpZnJyWza21iyDDkciHyH5AHSuDVI9ZnOdB1Kp0CV
C1AQ4u7V38+iyu/xS+rxzuv7+KlNlvYvMzelE7bzMO8igQdjmHF/dFx9MDc23pysOzX7013gYIOx
q9Yx+5yVzRrS5Cmfqzrd7MlGcR/QRLhoUKLuBmNHlyqt1OfOd+frDLx/pO2gBi4a9fgvWS0V6RBf
b2LQNCxEHnw2FknN3ic/y0Kdde0dzoP5kUCPvQf+e965F3VyB08HbseUmCenrprTiBTilDWj+9nI
6GmiTn5a8XfzT20D3Tpry/j7woCckt7D5Ig0cHnsEQ1HoVEtHVtcUFCJj+OFG+TNqSUPFWHsdcET
VkHBFzk38mNmovrLuI7r94EFvh+92rlREAtQYbvOvp3b/pH80kKJUo2w8bv8ZbXr6iQL/Ft2FXDy
bYLvGGfZTESys9QHD8LO5ownJ2YxXZWdcj2YJ7hdkvvHCkPYlTxmruw+gcu1d0GVmLNYiuCxLM16
FXdZe5g9Qi5lcJneVsruL82gpruqi8xHg3XqV5mPBAenXbBXWko2D5jWByH74Wo23nSRTrOswW38
6oTPltpTHsOwBPYILlbLRNcoRMz96vjJkw908gmDpv4jB358ZrN5N6uwejhM8NiLINLXdLiFRPEW
FHt/XSqsWuCiHdfYqu9yIPi7eK6bdgczxD6aKWs/Nf2gYorrdb02gRquICrloAMlegq5BiUxu5xh
3uf+WdDz243Nqj74YyxB5o31zYocOGjXi1ZrGuyWcibX3XsDkLZ/nWs5YpNgY6GIN1IRNNH1ZDXx
HShLcWvhRPVc9OYzn4kBelPx3JVkMNngZbdzkEG/1I1IL4O6cV4GCxXhrkgm+waqz/CUOuPYnhKn
QJcVJMK7UlFt/GNgI5/GO8Bv0DB3WJGN9Lsx4FlLDz1KH4xhKaPqtrbo918tVov50961p95ct8FI
o0dg8zxdVKotP8hZWfeY16bNzp1NUh+SoDEPWZyOCEuKekmuyjSv071lKg0JMYqEdUIa060Pi1+Z
ITltqYe9R45eF3XOqNVTnF/m1OSm2AmPzGWnyyEab0BLsm4nBxF/nLwVNX1tF+41dL1IoMkjRbzq
KcT7Z51S/RniiGl67ZI4xRW0ovPYu96ldma7yj6ucokc/ELm1g6GS4dgZ1/4io7AqS2WyqB16vTw
GFhxnsHAiYvAhMhHYnzksBObH1MJayZ0ElXc1yiL1tNEoZkh/mgd+3oKsrnaOQYc/8YrCKd7CHLr
Hr18epkh/ti5wssve2uZu+xDsVhusKIyK3GUKvfgNGW+sbQaR5cf+l5lfo/JTebixVENXc1+8Glv
7lC5OOVBiaFIrpEnZm5YVsC82FdgpBXKcqHx4w1Zfq5SpWtMVPR0k6fApPtsTuezjHGe2rtoYj0g
scyIizw2De3IAcE4qim6327v9LcWdkPerswi1YWeynESX8DsnkVjmW9jQGoiTbM4p7qOhDzEY+IM
zo4ULkEkT28eKhpejon7sFgKu4VdO/hLWuyIpBjHMnlWOqdfCUKt7x6SpsB4KW7FHGAXhVlHcmjw
vND6RlijOzzRzC2jc9b66nM8ji/rmsTo25qXOGh0FlImlI8T3I5D5EeoADk8bIKEa2h/eetVsTjF
rZHpcBwTE+yatlmb0IOm2YRlqctHDALdvTHugmosVcTXsS+/9nGEa0hd0MaL8c+iw+hjvDR3U4vh
4jCru6BL5KMHgcjs0xGsh/XAggnhw03fRN3k9w2eZv6h87z4uqur+nFouz4+DDNGoxegxmifrHIO
Lkq8WjBxaItj3kb6EYMOcQj6pL7CeMy6QX2rrpyGpmUddzSvcTCr944TjZ+rwRtO6+xg5mR7HMJ7
VIVtd2iEi4gt9yeoi2aKwqCb7HnXYgW9U26HK0MgEGTtagiRw0Xn8nD4mFjicY1M+i2i792eMvpr
e8OmnMJ1yc0tpzyHf+pihphm5BfcQvTAqZMeBy9wd0PVJM9ZGosXkLf5CGknOKGBLI9e42V3VmZj
yFu6yV92VT4VGUywmMLt6DlR9qmenL4ONRZ0n6QdIUB0ZIRVHdY7/i4FHMWuwuGhYxuEG9uYHcWu
/JBRllyOqHC/5on0XvIoFn/lQk7XCI4hKDRtfSGBjJ8B3518i2lzE8rMbm/cKJLkrQTHbRGqryrf
iuEFV1VO7dnpvtT/y96Z9UaOnFn0F9HgvjwOmXtq31UvhKSq4k4Ggwxuv34OVd3urmpMNzzPBgwb
sK1OKZMZ8S33njv4WrYtXbCwIcPkxj3WTp01USezqWfXtDQMC70xB/dVco6ErpblzmUpOvM9TdO+
CM2S3yHMSy/Fx8g/N2L8xTORzsI5Vq4yoYOlCDkltVaRnCrQIM+Cri2NCmFZ+hcu3lGGgeaPwwED
FQQokWsHnHzm46ob2BnLUCi84Zq4dpwpf1eDL7ge6Dx3MHpQQzWxY12wupNnyLFGGa4mb3kxdUq8
F2Y/ZVHHmHEIs6GcPnrAHHLPl5I+TQmmmF8HtlZDyEZugOc6WCeG1AmSqWxaKOaRjX4j5myId5WX
9md7pn8DMeTE/Qb2n+ZstbZC86svg/PUd2X56gmM20VngazRtVa/UqNn3LNd8wNUQdRwoduPabkH
StKfOP3qcTu1aYodeAooPVFxaM2VlY6GFql4VeLNle6ILZgnHAYoUniIIjut0twuhl0yuKxSqiLK
C4o0uV3bWNzac5uZ1NSwnpeXGrBLcW02xtht6CrigiMtcBuIotJQSTnvNd3Ma/vaVVbsh4XRZtZb
iWwU79mg+VMe71iYFZN+WaSN2wQR3faEVVctadUpmCCj7syblP0Vxn6FmtueN/Uwx1Vxnv3YBEXY
KRowcVMOTIdILEDmHaidVAJOFawVu0k2I18V1ii4caxahsPUNm6/S6jV6qNKlVZ979puGpwtWNKs
qrdOy67tPtZNdi97/IRZX2/kbGt6fpMrvO3Ok60hlwL0jot8ZHsDd6gxvlVaAK9Mii6vZzCk6eS8
OGyZ0vsfw1pNrAsHkI3raNQ04kmcyVJZV/foBdY9CN/DxfsKM1Of3D266oXvW2tAM3tVYkyx/NY+
gy6NzjbOR5crguO4f4LqZrXQDikopys9B4ANQiHpVFvsF7ZbfFpceXmTv1u+qodq4wBenmuQmfx5
gFIbVBbA05zOquJ7q3dE5m5dhKqZddKVaucGHVLWU+PQOyTtTgg/5zzWQMQVqJAuTcRclO4i4MSc
g4wiyrf3We9V8yyYwg5MUrMISZUqR5Bj9WRn5VYAImoCZgeANi8WSj8f/lXpxmzBhhgTYGjYbWBv
vXmx7D17v+pJ+Kp81FDXwPZsMJ+FuHGnZYvapPqq1+R6sKXRU1lsG7cL0g2EYADK4UJ2xy2GITV/
quxPQZYMNw7q2ANz4IzsjNiKCtNVl7kBM3ArrAqx1hCwCBZaeZ8H0+gdW0o4D6a5mO1wqsei3ste
R8U4+QJEMRLq4qtYdNiLsYTrFLrcoxAGrWW+68D2TxQIWrmlAqVDjHPhOHvp2n21iYEjvGtLPM24
hZOxNe587JfOBu5Q/SHJAcBCnQ+0BjWMBboRmRvplnJCQl1LnWL4moC1ZOJCRW3W+MzTZIdPa4i1
XaUMH3GO2QJyiHW7abb2rHcHo2u8V6gPttFF4PmSJmKgmDl0qN7cXVW+q6uNqTuqf0H6gGwilAKV
XYSmox0okAwTXRHDrauEzrsK7ZY6HKaVsqdwtApv6xVuedKSrkHKrhzMFWjrBI7PyJwVDLHaCVhJ
aX26x7fAB+NNGDwttHWHVpRtHsEHtd8XBAs8G3FwqzR9BSNDD3UNAW6JD3tjB7EfbEFqjN80xEsM
D2H3XGgcw90XmssxvfVyQA9UXVChD1Qw7kkSKJO9c0Ra894a7BwbvBVfIpNMviYSOEPoj8uEXC1W
TEaWJZtCAfbn0QeteTPKMuVPwMbGdtirGk5Tr8KsUDjBncH40NsEeTMeAQbZ2WZEG/M8WkTDRE7R
2dh/8xx5onTu2ziBvGXW+osrOyMMPHSIKVQtFPodfl8sR/MVnkoz25iqGzB1lTUCeWjKwXBMXIk6
rasX5KAJYDF+3QD0JiTwVkSi9mYczxA/vZD8zKzbJAMubWY0+B3gMQkPeaGVAE8Mk3ruLi0l1EVi
GhCudCcR3g4hhHgYJ69HddzX/JWoAbwvtkz9JKwowK9bba14O9/GuExNvTrWizhAjlK0WbrhQs9R
XjEuuVkgwXbh4gqBd3lAYLex9CrbLgRVMKFwkNMhG6nEZrDE9xGmydaMOziMvTO/epwWw3nqsTJv
ynbw7zpHwoTuNcdpaQgypkCV2VxaZWye/bQsPGRC8VyF0oiDs6al5vtcZsUKlehu0OqB08x88w1X
jKrZM3jBjCO7y2XkjXY2b9Q4511YSr+PtyrN/JLzV1rlOTfM2dn17ug8aTHkkSsmV/ApEHKshAFR
Ga9ZgOIhrBBiXDUoTPStBwqLpiAwcTW0RFhU28rI04fCmeQIbZP7eaA+36SWbKHgs5m6Hq2RMbRl
NgBpysp6aVFZJOGgylerq5oX2TdNmGY1s0cUlQilkoFHvpSviTbqCbXVpEUalcelVNh7OuYuX+pE
aUeZ86XewPryriEUNqfeafF6SK+4YC7gHbRY95+YGGcej0HivoOvtraTrXd3g5zNY9E1cAPywYd4
M9d6hXSmZsTjdZ1/gFZRuxtwNBROVRZM+9oxh/IOt2y2kQy3NpJHHSKo5agt5YtxrucmRRs4Gi9p
PE8vQdwbgHuVjnXSKbaVX8JHRFu4sR27f/Qp9/eGHRvvDQr0F50fcUJt4o1D8v+C58a/nFjy78XQ
863z1RsC5f5GKEgeIfRg3eB7sNxARSqoaAxQ5dwH4GaV31kbH6AgUzTtYmxN+Zwz7Nj4E41KSwjV
Ek6p0Txpfmnf56llQzFnqn8UojZYhaG0LCzrY1ZM/yUkX+ZB8p0LqqiGDTtwXEwvdLRNJe6k3TW2
c93nacsp3/n+qk2SLf5nRAITTviWXQMLx+baBv+D/GQ08WqYG6vRpz496iqt8uWIkHvuH+NsGp0P
p7ab4pA3ftXbUWxLvYfbOziwFji8CtQs7LTQR+SBkbn6BuGdsVA2+jo8YFm4Up+Oap6YYoauOTk7
uIGj/wUERM+hAuehhLIyek6qOxvqPHQKGw3Ea4KgBZ//gByZMh5V1YwXmi8NMnbbQQqaiuab3mqz
R4IPY30PrZ8Y5wKE7JIlBWohkcSriJxnEFTtHjjKore3g+X3tDCZNblSPjX+GJPwwiLWp+/DMpRN
+VWeN51qNt1InIex1YWluvZdFctggBHJE5HN0djYlGThIlJOhkOMTTIPIibW619iu4kelHsYP4PX
PistWUwnBGpX8L+hhffc6az1HQ3zOZ9hP7iAFwPfG3b/sJ772SDC8g8DdYBXliUnMj2EDz+vomud
niOfRPCh57hIftt6m27hsH6SVpWg9hz9oa4ivbKl6YUe4CuUKiV7lC7qrXryHvPPRdff/14/b5f5
tYjpc7GrktjB8pBd0c+/VubMWJOSzPtaNGJdtFQ/hB9VEZQ8iFrDuuwfFpU/7+TXV8TGzbuxeodZ
+f6aUMTQ0O/BgNXfqh+vOPxQ1VhOLVnNd15qK0Rwgw5QOEqznGXlj4/ivzSHHzSHn6Ip/0xzQGtj
8lT+3zyH38Mt/wA5/PYjf3DxHB8/voNg0AbYv/q6/s3FM//FKt1EbLJawpHb/JvlsLq72B1/RgHC
gqDixkdEgBubO/s/yvvDpffzJh91R0DaDH4rvCK++ZcoH3ilPg7XyT1XJgtcHFWeMW5cY5yBtqF8
FCDcvB9AN2YMXKZNPRsUnJhf4aMuNCrGffmDBddRCkKG05ZJQrHyY2UwUbEGh/b0EyaHoGsly1Vy
qOzxqv9BneOrQ4iG3WkuBie67cq9GOy2+0DjedvbmReDCNc8+mOiFEpCu+YdYvsN1+p8r/nLAn+G
OA5MJoFR6y0bSxPai0nZrl/ULNacKO90qXEQAEM6lK2v2ptciwtki3HwCg3XSiPZtcBQpBxycYbc
l642kuCFlB274SVmd9lOQWlyM3oegxKLIcvWajL/umhr97XFOrjRgmb8klHw3ixO7zHAgNoJ+lb2
IZsEYGqNlWpE+DQa9HsE5MecYecXt3PaF7OjQAmpb4OPJvA/ymm+8uk9CJ0pqvnIv8WXg3Kt6wyj
+YHgKGPb51YQTWvBxwYuaG8VcNUx0udZB7KdwH+yOYIqRoYNTlQcinOI2HcgO2qpbhA6dk8TsYpH
U85QrhcPEk1nzoQM5C1BQhkSGXzEWnZIyzz7yvPg3OY4cKzt0JjadVoB3sftIQ9dMxFqF/f1Q7p4
OAR91dw0i+1FA0KXJrKxVV7azmA+a03Z2TRpzLoae6VoA5iNKo63IwAhxpnUpMMmU7baGmattkzr
2CNr8bSzRmsBkAHxI5pR2X7RWNvt4J9peyxKyxHLwfKhV6Z3TDtD3NPkxFdss5qLRktUtQfEPl9P
anEHw9hNg91zR4S//2dfmMTSXGqOKQh3yvTKY3PWDoFdy1MOhnusT1XcjWWz8fq4zYOdKTUoQMZa
s7EwWJmFVE+G/vF5TPz3RP2HExXt9cor+b9P1D+itf84U3/7od8zVQnDDSCMohFyEOn9+0ANnH95
K+eTU4X/8jcsjq3DEoVegOsLlSutGi/+x9GKesrU15xBdHgoH/8TMo5j/XxLo80ktsywdSgWiOew
If5SF0jDzVtsDulpYZqM9rlMXGYLdh6bcyhce3jVk8pjNeE0dxlr+atlDFZZfqUbUR2ofGt4OEDy
HhrBVppTcU1GUs6wUauhDXtyPwXMjHpmBSGcCcBZkP18i8FpsOpmi9HbzamTnodybC50uJBe2Jjl
hWBqc+M1lr+vkA/sYy/29jbYsx5auhZvVjooY6xUHgtqnkvVkV6xLtY1tlVzT2OC/OAMdmf8Qh7B
DLPMi5PIStXAqN2EOV8zT29a2x4xy49UyAQGFEvzhhINjmJBpkooJ7/f8n9I0Be5065YTRljPPkJ
06UA6QfQZ/1ozLF9KKSpfaw4wO+eyIJrK6/9Y0O+zbdkMuM2SmkPb7JUqH1vWfIOZwFxNAXAlRAk
IpEURE18Q1Ch4+/Kl5CtDD23xtLniiys5NyJRfuo3YRD2hCNecXwrz7iwHoZgqm9y0ecUEXqD4+p
6Pv7IOinKiy1Rb7j40teJN66AAAEy23XTdA3LTXjNaqyY6kXXsaOn7if1AkKL8KdKd/aGeRaZNrj
s4vKlDe5Lt9JIegPwZL1O8POso9FV+VFpstrbUmcE6U+woR4Wc4iLoeodryVmOZ35ka62cwicFam
5PNMipcgC5g58C4p/mmV1u24U8ozUgdigprK5Q9lsRp2RqxwVznaIWdwt5/auHxoajt9LrBCFRGe
Z8tkicj0qnKd3EDS4bBTQjnNhINroTi20laXyg6WLlKNjuFvNhigp7h7GEow8IrGDso3FypNNru2
8XuWm9SgYEVrQNxlt+wxfdQ3mQvOk6W/d5HIhgSdZSaRSvrVpei1/MLULGMm6WK0tbCxmZSFTiOS
p9hb4O4EKrHfYdcxqi6Ew8C25GJvhF4dFkEqGpoAFFmNXxuILp3gNonnFK+ZthUpgTop94wrnSvy
RYaP2rOKo869H405Q40NAo95b9fpdF5wBpNFF/Q1Hs48ftEqONinuDXbfBvUnvG1HfVOhak+qrth
IbNiO8yF8doHZVxHSd2qWwNvCDkVjCwDMRpvWP+hig5zz3xy9Er/YFsFhEnpBw0G7ZnRU8XWGWdZ
yhBJsXx8sgY9Pbd6ar8rt6XgMGwe2tULWh5EUvtfcggQl8w9Zv04BUXwwCKlIRgJVQRjwnQdTgjG
gjs/ras3J0mDR+B/75o+CvpjaV0ayp2/OULO2ACwQNTrnrF+yRPVGVEp897jw6rla+8RNsasMhf0
zA3yF22AM9c7TnCRUtJs0AHdGixA7BAjTb+VOvMjqDz21mdPHHExu+EyMIlksZDhRwzUdhn79lQ0
BptrvfMiKq/c532w833DUD+nf5u9iGgdfc/QNLszB83ZNxlic8qrPrbR20j91SzSYLvYHKaDqRP8
FiC+yPdeL8pjgkT5qrDX2SKBe/0dATE2b6xX5c9Flrdz2Bo9uEyY5uoYJ1Pt09tiQRm8WciDrfnd
gQ06SyLEKd21Df/2o0HbxFjYyIebuSXxAtBIioFSy9mhB5DVd5qftl9cKuVvLZu4V3RgcJo64kG3
/djBj7CcWcZRwM7nOp2DmA2eKaqNm47xMTW1EbqWLu6RlAuIM8F4xi2RRVVZMMmovZMtZryMdV3e
BimxwkOSxce84NhsmNbvGfA9JLWj9t26Gc2owgfsFnCLQq1Achb0g7ttMWF/XaxhwmliuO2mQT6G
MGOtsUrdz68npO2DOtslAXU94XKjyJ5JYy3rw+zZLG9ffDSJCPugchl9/6LUzJo/xntEmZ274GbH
GAtxKe+AFOh3aAESxCbMrTz4OcchGZ8chHF3beD7d8qAvhOSdRc/jdKtXyBM+mSxefV4SuekePJr
1+SQGvla+WB5bnQ1VTcsd9D2Y1okA6mwr4Kk6qJmWFBQOhLFkMFtF03VnF0pk/1T6yNn3DDbq67Y
yfDruoW2M1iR8saUGoxb/D12SGfgXrQGv/4yUaQCkY8ZvS99fG/70j1C0B0fGPP5bZgOcfrNWgtJ
NBfUlP1aXs5roYk6hZJzLT4T/vAPsRak4yyd/dS3ajet5SoJalSuS0tMeWKU8y63ZzOcjJ5Ex55I
ueKz7lVrCWz2C0UsrOYIeuxNWyoZOmu5HH9WzqzF4jtSDY/QVc1LlIPsEeq10J7XkhtEGq5q3s8H
uRbkQb6gUbI1b081r10Xn5W7aY7ObRks6VcABtkhm7SRWUk7Eb/igGo6zWsTYBaEqgdzEByHtUVA
a1XdDGvbwPeJDqJemwnrs6/oPnuM5bPd+Ow81NqE4LKjHyEYhYHR2qSka7tCypVN+g4tzOIF07Hj
YoROa45XNZ2OvrY8xmf346yNULa2RPoYF8dubZPqz44J/SHdU/rZSdkloQLMhbxdNuTFTby2XHRk
xAX2hvtqrg2ZubZmfboemgzu6diWcXSWrZSm2dzX9HQZSDdO7NRPxbn97Pp04OLQhzA8v2ZrWwhx
q0Py9tktWl7QYu5zGS8hHDFa/cJ0+4x77EerOX/2nVz8vPPN2o5K+tIJrNi8s9ZmVQSuF6V17cYR
iXm3C0Te/Nx/kthRjaQv2KCc7M38ZLVjCdadrRxJGnLDwoWY614acKuHfg+5OdPViUfWJFjGG2qX
5Ik2Xl4pe6fnotDqj3yYzKegV94DcdXi1LbZQ8u2YgsKsTp6LJgjTw1V5DXTnVsurxyA3+0sfct7
99UDnvBuwS8npk06SLIc9eoFWn4Ap1XetEa5He1Ku+DDMbF+iuJYF3373VqcgR2FaAsEa63lZ0B9
s/IgCa+8tZyxmCOl7BQ5okTj8eC7Sm6rxSTZhBw/ViUre/E3l8p/u6d/6J4MtJB/1zz9D1STunvr
fpphff7MH70Tanbgj2ROuya2DuZDv82jiHDAWQayEmgLPcxnhMPvOQ3uv5zVSssIkjGUba391e9N
FOEOWGzWBGW+IQB9/rOsBp927M9OEzox/oV1xwMJjQXtV/sH7b5pC1PZRyI6kbQ6mHiIWBv2Cwig
U5m0zmEhIwoJ3TjOX9GKexdOYSO78A1jvIM1ji2tE9pb6ZUIHhw7uFqwQj64OTKf0BUuRNDO9q4o
nLq7OR+yh6pzEGUrMrqqxDW+NCLG7px7+Ynh2RbkXfs+dHl+mDSfRMUsHydKBBIbPiA3QMWOE4Ts
8VSY95whxYntTn2OPavcK6tjAdvXl42zQrbLmIVAXqUnY+hQH2YVJu5Kc8nAIY70hFsbFXNckkIr
/HIvSj+4mIl1JpTMnczbSVMBQvmCyNk5Qx2JIXUIh8Zqd6ZnlHuDvuDFoC+4MrTixphYuMem8cCQ
pCG8hzVl3SK0CfVWWN+tmW5irGYXQjfBkJGsZI/ZxOCmzPEOQf5jGSrLTO2dUhdfkWO3O0tS/reZ
LPdcDMVja+cukCmGNXtRTfkBnwKucXtExuXNRtQbpnpu/CxmX5Yy0yOF6COYx/kFjYJ1m6CQP6A4
lFcu+aG3tPf44lnP7hCQqTO6jPa9sggbRSrDkTqQTeUZBX9GMtFGFHVJxzmimS5s9ZUMqTCTDjGg
gThz0h9tIBFbDibsoGiBN50TX1aFqI6arx1ZbRLx3TbLM06Ddt+2AzHRbJi5xPoM9aU97oE8MCgD
53gDU28xdxyLJHux3ljDmnJ1RtqcPyVzFrx6LUG5ORQHRF7ueC+GsX0IYju7JB5XvxyhhA+hQrX3
zBXcXeRKL+/txhZ7lm5mwAna6AdnKskPKErLul1mL7tMEnvZzdD4EbML37uD4UiFV/etvyHOa1jt
DfoNnG/v1CT9esUsdvmhsJ1dxQByD+j5rbNLWbyvhIucxfeylxYeyFWdCOeW1eBC2MOMfEUbrDMV
wuoxbpJraALdQ76sE8aqK4+Vpo6ijlfpXe34V2YrzNc6MNzLNrGLI2ATcciBgVessrtyN9qpc12K
8Wymo83j2MqDpvcsfpP+LVXszegvC2Nrith7Qwr9zWmniqpdINCdK+fYtLG984DPb2avNp8su/iY
R4sMOS2xzVfPrx8asNhPHXnPiBpq/bZJXXKyphQvPKQjxHjcvfpVSt1iRCOW8zeU2PmNlxQt+yvL
goiNDwG2Nj+ULFn56DP6iwYq0a3OoPWcJ3yIo2WRzacQUfoAFe49q+uR8cD4C/vCeOib+piYo3tq
2KXW+C7JZvLITszKvLi1DKO8c+Ly4M4kX7rxUh9ZY7JyE6pgNBBYr30TZEcP7/wOUVe7IbkKgWA9
5Xei0+1vCyKpyCryNFpSfBhoV4oXjFDTo1cL7ZbI3ibiA/Uw5qcFineEGjeanHZj6bbnVqIOiIJg
5/R5tWd4qV+yIC2RAN8OcTy8aHCHQQdZxm2uQ7GoWS50UTnqw1WtD/LD6tGIxLa+GfXJ26Mrm7ZE
gipS5zzLf+mBJAvsSkuZsdGcG4ztc3K9QKzfE/fNhT7PjhfJYXLXdSHOczrvLdFjHRoFWjt/EwTD
Y7LMdg5En+jUUiaoRLUuo1ETRGckohWXM7nsW8PQXnJqUT8kctPa0qt7ISeAHhFs6kallj0XDGGZ
sSAIaHRyAc28aN5LoArnuEmDWwdZzbHrHGY1SN/7W1IuCjxadeQg8nhzsQDtc93xb3QMP30kkExe
rdlUZINVS0lyYOlSMzXBU8CtcbXgHXqmP80uqmX4EjAYOHAjLnTa3XDVJXbGozTmF13uwncgBPei
Ura86fO4vcz1sUXZkJWoVytBw9YlO4PguM1ipmLrdK31TCCEeXDJ+dzK2G926cSwCuCxuhxB0L7Z
VrteLtgWXlLixclEM4YydLMi2Fl5kJDwmSK9mpMx0ow4vTGMbGUFsEEekna61xVvfZ06y4YIPLHt
JtM/++s6dzOVTXptefnIg2aM+PxshypNV8TUJpba12hDj0WwiMdS4dMyRL6FmrXcFINlb8UAGRlI
nU6IqtJqG43ztHPbZrgyhsQ8BUZSfGH/X2wYnREnbnDdZnzFzzR+4oB/FepX0crgtXDdbFPVo/5S
xpI1EWbLY9ybm5nh7s2icu1D4Ks9CbCLO5TF3bWR1eXRIStjh+Wuuy3n0X8kvSDeGXqr36dDhjxt
8BACzyjQqb09ecV0471G7/OhL4rjX0mCwgkXsJM9OFgDMD9zUrPTzsS4mkxka0SxcAd+1KVGrTD6
VFTdt2xeJXd/nicPyqEQCXOFqD6qiWy8bZO2PDQpX+lwEkQlhAudOAm0sd9+D9ZKeVhrZuif2kWG
wB2DAC3VUBeHnhIblSIJDZ9lt79W4AWlOFr/N53SnFDuV7Cjd7WB7gT8DbGkax0v14peUtqba40v
Us97GERhPhX5WH9A/Z6eGRe+svxe+wNmhD3dgvjROwh6HToJ0sfXvoJSC2EKWr215cg+A6PcNTtq
MkmRUuOk/Ju2X8OlOjf+rvBm+4dyGPng8K6RRKVhwokY0e4h+Kw5VSgWLhk+k14lOECpvYIBFgvh
Vm0xJ9XJXyOvujX8iiKvOBvJXJ/UZzTW7LRfdKbH+U08peXZSx1DPqBBS+N9uRQl8Voo1FEgwq0k
eMsng0p7dNp4crYGrTkCYQ0vxrH1MmtTa/q8l0FT7wa3e+7AXzBlTkpCJPgkgZo/swYfD24m6Jur
XtHA19MugAkR0dgQdWtfqMBEhqVrjRMWOGCe0KGSmWBmj/WSltsUCOeJGwQMkJYlmNhKg2GfMV8N
adJeST7N09LDdUmz8W2Fv5xk4GphZ2tqb9TT2j+v5RYQVAWoy5LnLCNScgdDAApaE/cHjIx2BGUh
23fozll42bfVQnZw3mrJcbFB2uFFI9apMrNTr2PXMkoA+3j6LtLYxVUBA+GLstwyQkk377N2yFCb
dcEWY1i8lVnZbMfYFhMY24KLLBbYUPiYD0oXJnG7ZrUHq65/txXimEgUAjNDiPjG+OoylvGfux/B
1OpHTHXcou/tybn8jLD+7wqs7rN+/ocmbiVU/u0K7OmbrJq6/3MT99vP/NbFkfWA0omvuQWRxOUh
oin8rYvzLIL4ODExzrP0Mqig/1iFObRqcEEgY0Mk/amLs81/YYM3WIHR+RmoEv6jkIhfLPzmCilh
O81vyIvYf8Fw0looQKe+c/B9FMVVmvphnrT/RD9e12l/su7bKJeYcxKywOpO5534Zd0Wq4HBWYM/
ip14bYQDEqTQn+LmC+3idFO5nnUsl5bzCFazeP1TV33z41X+HLGwfl5/eXHaaNj5vG1/pRSkbklC
euEHEJ+DpgAR2I2bYTJ4XUcv7lA8Nm8JNB9wZDUnFndT9m2CAlZvXUnXV0q0irPKgd0OfhlZrdae
FGHq1x0QTeDqZcwQdJZc5lRGbOW8+K5yy3Hz//gjsKyTiwjDmwfpl3dQl/aqyV4CIAKTiWyxWXaV
VtnHzBtnkFw6Jz9MLGurVeSAGvoEjCqgwAOljOKhR7N449bmdNN0vh/qw5LtgyAl39YvSnYVQ7Hz
8bo8kIXR7+Z6ITNVq+ps//d/w89aLOfzIYDvAa8Ej6Xnmr/QSjrbYk7tjcEhs8S4kVStLP7lTMpp
/v3vX+kX4cyPV/J1Mlb8dTjyq+rLGTBRC4NXGqxEP8x9y4fn+u1J9lZ7i+b3n0j2v3yJPl8vQKlj
k4zAQ/Yr+8Y0OmSEGvlJrALkLScK9bVKgv+MXLK+ClQjG9YeiCFGO7+8fwHDUgLKNP8gzTHb+7xr
wgoywHf+w9+/fcyB/vKNcUyDiS1fPOSNv7J584RYm7VWPJgsEY6L15n4LXlmMDKMm7laeZZG6naE
jvTF3Tw4/oWA8r7Bhx7fpfQX58px2ls5Y10K3VVlhHNUZw5CPN8hwbR7asqa25Bn83FICK+MrEVn
r5jkjFnxnfMik7DNrYGf/tCZFA6ju2SHv/8j6TB//St9nQEWbydyA2ZszqoR+BM9KTbjkqJGTocx
t1jUJ2jY4YZ2Rw1i9a4pCI52reb7xC5z4xTYqXh480NZ5Tj8DNHvkMTiWiuykUIGSxibGv3ZAH51
5QSz/cUbq+rZad0tFlbz3ggqWl2JFTiShDY+mDr9QrpksAWHdHpELmhu6iSb98SAstRKvnCcFTQh
jnOdKNM5EOTRnLld0kMlYnNrJW4GwRNNd+NkYLZM29h3VuM/ELGWH3OmV5vaaFPUrkn8QfIzAYVd
wdRFLMO1wP7Fjm7x7IvKb0uyqYgxEwNGJ9dGdOMqt4Gjb8BFKUglxWVVR2Vbgw+FnHZNBzR/nVHx
QnhICUUuemvvxHbekYxJQtpSCHejeYtNVKulPwjVVc9ekhbfhZE2E7OeYGYxKFNy+UY21WHDYveF
+QGtYGXKgxMEKLDmfLpYQNZdu2Xhb3o/A/9nVdl4rfqa3iEvnTcdC6LG7hxFQvFNKzT/UqtLbWMn
GbBXT56qis6vdI2WZMrgCJoNk3Es4tDEttKDm2Q7rXn1Xhf5xfp+bhrCjyNEJ1SGDStgo7JenRRf
qT2l+jEpiCMC3TE/amXRkyZO2PgVLTiYC1TB4GG5XyKMfNYeP45/pDO03mTsdjc571N97HUVRK3X
WQ+FDdIDY4AcSsYOrWW9MYhpdgULx40lJh9pmFnLRywKClANeWVQMdm8sVk6jLPapal1a8aV2nK2
Dcce03M40+WzqU3Nr5bkM5dMHm5nWV5msZNG2jgU7CZLtVExxWVKeR1JnfbNzKmnEzaw2HqS+zpP
LhmNfkHsrB8I09HvYgNVSy7dZ/xzb2YFQWOU+Am03A2eeieGKyylceFNaiRjtmDtOixTVOlWEirK
YoxLeozrTUs5onCJG9Vn0FuDDJkM3j3q/TqC6xS/aiKd+WUmpApmYUdpgUEzlHo78HANo7fhGip2
WeIzB4arkm0ADZl72a294dI0F9h7deh6zvyWM8a7VaSa+0RuOj7LTDMX1wueJo6pzmjPM0PTY1pP
5cGAk3jwGr4urjY3xGMGMF0LtTVJGQ2J2WlDNIsxEukc69FgJy95bKivgOvmF2uQ4wkb/XAshqCn
nRf2hdRZiLV9EUdOrA//y96Z7kZubVn6VeoFaJDncGw0CuggY1QoJIWUSmX+IZQpifM8n6fvj7KN
m3b3rbr1/8KA4SGlkGIg91l7rW8dB6KTd9pCh9WQk2Em6p86nYGE7DmqCYxViizwFUHLVvMXc9TL
ndQFBviM+j0zr0w/XQYEPTkke5bC5RnQO2oBUAq8FvwrHN6sDhLOiid28Vlg42bca7bbkVTUs12Y
jsvH2MO5u8CUzYOwZihQtL5s2oqzPzIVAmXEncNQZA+FPtSoa5PY8hu3J4co9naCMhKImDoV1evd
VwUN+k7wQb0gZTfAjEK6pjY6+Jt3kH9TgCVIHZY0bX/GhJh2HFWd55h8IIBqx3jSdOaLvKpjtp0T
08nIyFdVGPVsxFx+uk/u/2DAV551O7vmkdm8pKnMgkwnzZ5ozIWahaCYk7o9TmaT7erIG56h/OTH
hijLm9Ji/QCTjWsPpg6M/Yxfdl6FJ+WZ/FyLrEl2qvDksHzfo1fSbmxLKwtSsBhbrx35zSlXvgNS
MAXWIAX7XxbYJDJQ0Jw67GgZVXyN8PLua2TbFswOyU+SDaTixrHnV9JsHDU9PbiR32eptZUeMqvB
hcFXkI33dS/UAfJT7nvOAO0DaqFfh7a3YY5sTyN7vI0h4+WDGXh8TgjqYV4VzSldcIpgUDDF3tCL
Zk/JsMV2stKuCw8QB8QDGS9Cp+HHxkb2fQrZuW9CO+6vVIrwT1k0XFtdNEELMPkFs/NNlxlYMcam
2nepAHPKvChvrFnf9w0XBQO1/zLKxtxB0JmPBTlAf8zTeFfJMN5W5fBkhGs3cd8Ddswma4v37b4N
S/gNhO3GPWnZJd7z9DvZz9Z0m/jcdkUz8m62+g0M/mHZUHOvB60UwDO8sLCAy8wsTdb+aDO+zORB
CnX8vL3/e+v43xxYBWI2g8w/92xe3qf/OL233fvy65n1jy/788wqf2N5CHnKRH1fc3P/MG461m84
idYwhY5f77O88E/3JqWGOEkoc7LYPjrMjf9YPNJryLfTaR+iYY+1of0/cW+Ck/zb5MYRSHc4/K47
TMoEPye7XyY3ASWY1ZPVHsgPJ9IvW4BRSwTX5Ibgu3Uz620zPkZWx6CpJ9Ca6frqHyjYHot9lhpL
tlrKc1AqmZeQAB0kvJ2WKG8NTyWK2A5RAtrpeyeD1hKB/vUV1oxLlFGVFGB/DJ9moFYvdjm+5nji
Ir7V07hSFfqsUg/A1Z5wxqWQq+vM3FTUO3QbGsPY1cmUA+JkWiV96K5xpaKLNpy61188Pp/2RtMS
cS0J1p464BBbOoPBeNR84WQ7GhcmZ75QeNYFhmYYVzir2rboNO+jE22lww6SMx1fhWqPLCMxR62V
Xa9yNHrsXZ3nK7NLUVN5ojKAbuul4Qevf+JrWsdXT8bY0jbcwgVymf0r5pnhqLLU9B3iSAwh1oTB
URD9TTd24RXe1zFVTeSXuau/0NrOlbcePd8SnjoUeJsOuKza46gNPDrubJKSqUY8IOk9f0owOwHA
8lprg7tS4FPoOBZA3x6KQNSR9m0YpPWIn7YoNuTkjXPrdlxyJ8vInxewiS5DzWCQiwOjsCErz3fL
qay6c+tc+1DxtHrwm/CUxXP8plGwfqkxAe8/f75u/al4Z8NxS/n7UeByp4qWLYLPUaicdno7lHtO
qYAw3FrtErz1W+xiPYuVcYg3Tp+Ic+Ri1KOTu+e+drZFGMeHED6TOtgdrW+72HKyZC/pcSBDFxJR
L+HlnpRZHenNYHzs03HY9UkkXmpNd+2dUS+uvuetog4DTbQvlDxTasuegPL6dR3N0iTBYWdZjxWr
EMq3ZP4YYxJcl4bdmfIIj7Xg6O5irq52ALRQMpUN0Q1qYEzgr5aQfiBUazUvtmunGS6W3kr8seKX
TJVFV60SXYnOiGEwsxrEUtvr7c2c1vhRymnZu2bn7fNcyA8ANGjeYVtQhMFRbo6DSGDL2nkp6a9L
hphpKW/IiSrD3cVDZ0oSwYQh2gpoSo+b7hoW3nJLGR2lMgA3yajoLH7tIiEjyt5gb1CEsSNtLJ8h
mWd7guEaqwk7hp0090nh7jND7x77ynyx+nw4o998LV0Shv4yNtSkp4PS1HbM8tsCrkrvd8CBoaCq
0MefXvuDnpWnKOQUz/7Gbe+Uyqv7zlbFQ0ekZDcRfL+3EtM4DRFHDgM1f1sg3R0Uw9FWMFScYsYQ
8tFikv6UW/LLjKwHlm1x2dG13JUnvMQbk6OWX4oy4U2Fa2q3SlzbVcwHoRKmyh+mjqhELbtbDFpY
/VzE91KbrPveigQWqLFfWStIu5QC5GG6cTXPPOdek4DCnnXnhRqp5BaoaPRzadMUY351bBdeelV7
WVDaknNLCggMYA3I95IaFt155TzFh15L27k8RADCHulKZoU0jUTph3iUCd7EUn1hmqZrIm1ixoG6
PSlmvWfNRrgWjcOghpmh6lfch65tSwK4wAbz3mRiLLutHErQYBMXCoPpdyKVadvLDWzF6iGeVffV
4/eX7P3VnB7rolpTlCqCxRKyVSV+OahNBs4YBbK02D4ybg4sW53K8Nmxtn6bi/jJphxB+ZzHMx8Q
QnozYrlf/JEKZwZtYScbaaOft94472NwTP60FK8VIUx0dvK9Vdg4FzpptacsowduMwjmU2+CYMlD
5H1N+7dq71s3w8pVEg2vJi7meMC4KnX2EH77vLI0gD8+vLnITnnFJ1QYysDEvn6KambLxxm55Lmd
GLRtYvtkUgTdYxtn4Q7TVna5nyMuz3WZC5OPwySu+Ph4IObvOSgFHj3Co5m6nfQJgk48aV554W6/
XLp2bfmq0Ea3+NPVbQuH+ebf49K/ou8blJIxp/zzcWn/XrVR8vrrrPTH1/zp0tJ/c5HliLjoJEqQ
6hHT/tD3Xes3nChragXOE+G8Xxqg5S+uLJ0yaAo7UeJdB2io+J/MRojaf5+NAMrwFx4wcoprYdtf
VS0P6h+2cDc/SDf6NnEX3JDgr7ZMZy/Q/h+BUR8opWte3MJ4WabJAK/EnXkeT/0CiV1pjThKXEfH
DmfqpjQm6+gNsDA5YgHt1Bo26qMHSjUc7aCKuRlXLoE+rMn1dyo+9asmYHUprR8CSceTX7trN5FW
4vaJnCsmLvd+UkmQuX1xU050K/fE/jdyapptpwlWzZPZnnRIls1Y3FEYSdlVbxLWy+dj2znqgZnO
CipnoqBlmYYnkXhUQC0zrm3iJhtTMx4mJS2q26OvtonxVUxTDj8mj297PTFuUiDYvq6Xyb1hd+3W
wotyT0BoC4rleWAdSH8DYn9jW4fCGV+rwUg3oxwRq9nR/UCIim6yCcKK9BQlUZiz9xaGjm1rts5+
QrfxJzOftziF3vp0ljtaDcIgyah2oGHqVYwLpoCeMiQvKwCwcn5LFSK76sto6zm4jWKnvBZNt+ux
JatKuwuXNN8OWjMfEHqpLuNyePVqkb/0o1V/tcZ0V3irfbUvrhkzzjnJ3XYATcnO28dsf9vWMpq2
wh2htpZN9jKoKnmA4GkeJfUCPgAgRsY6GtvHRmrhIyqidWNm2I5R/xmucS81ZyAQyaWt8umFsoLu
DeKo9zwXMmPLi7qDBuG453j0im03ZeaxGXL3wZkgFsJOAEeQi9E69NKtvzlJ6th+SpHAc5mBhLXy
2NvrIjcuZql0Z8OVk91MpNft2WlgFtbUbPDkeYIMVTxAZupEXZ7aLuSOiLRTnjBwD4QDXVqYcPlk
WKeNCtyjDjwCGJI0dgJU23eHsIIdzGEEyUgk4XMq8uoRegEFKUVSPWJYMy7Spj7SxIR+xrqWfqdb
lsGSTVICSCZTBhwHzGq9Luf7xRqxtPdZBF2B+tAtydXVyly0BwkgkCqrZFwgH8CPa6DXPi/Jov9o
B5ZbmqTU0Y8YEA+Ea/gzMfIGT6BGLHNJ1MZDqX4aK6s8zWsLniNY4QdkoZZ7EfHWtIZwyQ5WRzMY
VYnRcsUxyc9YAFC4ZvZQ3XSVZTNTLbwOuBL5hkY/x802b5Nyu4zFwvhU1N9iPn/7hEp0vDtsmQOI
150NPK/Pn2ujBMLamN0blvlxT0tN/Q7AY74PqS66+/zJUqA97m4cDL59Tn3mQ6TIniWs2G0focB9
gIDqnk2tLz6Yx02mUJSDLjXhoNEtaBO75RfvwQZel8HqvzhzwR9kwBFHa+QiEriyWra615FXm8yU
jgveaamFrRvHkDdCQlqEdZPMk7fFMVPdTTViCDTMdPAt1eTPJhuLr1OpJdWWDnfnAR+HeazIsF2N
GYtV20L3ENHgmAf60LjqDWZ50grFqybCqd7lU9G/UboIMFSv7DvXYHppQkNcQz11r1MDdDvmHYmZ
BBrZd0/AJcMrTTKIRh6+0ejyiM5SZrs8itc2jgYbrJ1Wj5hRANXlvbf9fLWKqagek2jpXL/LQrId
BltFv0p55kh2WGej6WAD2qjrhKKiNXg0rRGjHCFYMTptEtf9RpZn8QUED79L1YVs12VslvtB6ziF
RtVmtFirJhi1SAH6nnsr+uFOn6L7eETvzHtWCGn7YU3ejSerfNNrHsOqc507uZNjzJ5MPUckMQJy
ke7ZpuJqU4fWNuuIltRL5bsCLkvPfYxwmISWbCSGfTXr9AthHONij1zDM8ONAtupJWDNcq3lXi7J
7DG8pkEXVidZOuG9AQXqzpgFtTpsgeBfuna8p1+Hcdcbze1SZ8XGqfEpjmNe+z1FFwhfrfFWRhwV
GvHelGN1A5mrvknV0G1LURhHKayfrdEfSrLR8BnWqtdB3jHGozVz3Oo0F5pJhQGt7IodGhvD5lKO
bEzlEqQdVX8b0QoQYbYNRhF5wx/jVL0Vo+ULFZcbC9/Hru5nFPOhPnlOtpdpHwNTVrzAiU2auUG9
TWGCnDPb+GIvukAGb47ZvBRHnYXeYeIiHOguwutcZuFGhwqKaoZxBzJhow8rVavSz0umO6eWN/4+
pQMvsMbwm25A+dMKjFDGgi+4vtb0pr0nwkkO5tTo3x1bw3ibZU+90aWvmK0k1Svo6HgZXR+PSEf9
lNef4EaZ6+pHcT2QY36I8JMaG8vVTbreAuGFj03RvQExC7ekL5bLHBM8Ytk0Jr1f9gKbaKla4mKj
KM+VYV8IXGcPvK2wadqhcS8xEm4nMZQEZgaCClmJXG12GKA7Q9TvnSWyLdmc41JUlNzW9euQV9gl
Od0HqTG+6CHHcL3ibu+JxkLYHn7qpv6tiSEJLw3sYk7KGwlyD5QjB0iQM9pta1pfaFbW/bUYa5Mm
ZfTigjnxS9A3PUHi8+QO0ZYhwX3jCD1egWAZX7KlWWcIh2a5jsaLE3DACX+eCF1qLcf0S+pgCzU7
s3jvQid979s2P9G8R/wu6kJoT9q4454+7bKOr40KuV04x16cMK0eMFnMAYUSTFZ0e22munUv9VgD
KNKX/PskDHmxcfL6FhPWhryoCjhXw3cu+mRYIylE9cKscL0NfV3ReZyxtp46ERrzJu6UfREeKSY3
agqdj0T03Nuzdmcb4KQzKeaGF5GVSNhGGmfgdDiDDTV5x5RhROWuhaHIVBO3wXmoLpVL2M/E77oN
G4BNIcD0Z06Y/XXKVJJuVdeAAe+9UrvQQmgdmRQyxOiq2SZzHmJPtSpzy6nloyyEuDOKqP8ytcl0
wPvWfLUbaJs510JgRx45TwcWokbWEFuUOmYFU1gxjtpJr7iAUcXRHOBJdn7d9qmfhrRMQRQDgteA
CF3M/IfT5S7xuXC6yzhT3SI7tzsa52BKinjkLM3uhZnhdq7Snalp+0hE2FFd9S1t26oO0nLM/Xlq
IOwbmbFJiOvtCoDQPlqhuVeVuoXTj0GNouWNgAC5o45rvFcrRS8bKzJt9ujSPtnkj03aTQeO6to3
2ePeL+vuffqkE9BwsPNqO9oNdEVtNEm+gfIv1lWt4iMuye6Orn7lDlrdAeIbNrWHHt7pALbY+e3n
aY4C9K9HWmScy5wIY9O7brpfSlZUU4IV2Gi31VhF7yDE9pIs6gYZH4xekg4sTub5lGB28GEWh8ep
Cc9J1FzN0LIoYnLT46LA/oSpG3t9kGoxFm9bqquXcXU1bpxBs5NxmwIVMqBfkHGLHiSxeFyiA1my
Db+wOUaAQkEKPUfAizHre3pEfNuZ8mU+zsy/6mwxqkDEjIrM2hJCHANogOQFrYFuCFzE4wDaqMAe
KzaEJOLlZ4xPeIQ7IcNKHLgbfp0L80HTvXEHK3rwI3OYHgkVAzRcVHeJUqvaAf8zb6HovzRKwlKr
7WvikauFIN1fY4/NeY6B9q5xausHy9LFT0WpfrD462+nwtF2iTG+t9HCessS460LMyNwXMc8YQBF
q6Cp6t6bcnGeHLu5RowqMNkGGdA19h0IfbhpiiF9nfoIFJTWmpL7fXgqtMTGraBDjW3Yj48jAlZY
uzG3Snz9M2m+ve56T56GjZzIy41atdk8T98cMY1krAsyFUbms/L7GeeiC0IMOid6IO1yizzN0B8t
bf9DN6f+zcms9DxNKCzCBacn7cQCdOY96iN7KJZeqEFBNvbZkfQsm0ClzOVsJi229LxQX/NWz2+7
uPjJATQqtqyXhnoz9cq6wdVdBUkZ/2yKgrs+XNU3Z7TXa1bY97ToJeOuNXSYa2zit0LI+dqHWKyZ
ga4SHi2RfxWxKQf5fdJND8v8ovikgQB9trHN3qBvlWeVg471m6XP77KycSwkFhn/KNlWsqVKk3lX
YAvIuA+2DvzIBEfLZso9982FaEX0L7KMa0K16te+depvShblDxVXOJ3HUJoal3wHruOgT+UTGhja
o6FczOZ9teu4MG5pPDkmFD5sgFMm3KBVdkmiYfpm9MoI7Iac+cYqY4BhNMBWG8GD3zWQJO+gjsUc
fBOvf4JR0ZJKpPy7RM6FGJP0aqHZYyLYTZwVOl/bdONHTLD14Mg+ObTNVBM/Kt+zGfM9gAaH42N3
zloC2nXUusRx9fE+ivv6illcBdnUMN2mWF+sqHLxm8skSD03PPGDfeHgFwaOF1c7/BzuMYfx227+
rfr8S6oPRsT/ckl2rKa/Sj6/f8Efko+n/2ZYzj+MmX+G8uzfbBxgho1n03NW4Mk/7JxyDeXRboU8
RN+V+8tuDOgJ2pDHlGV/2uL4qv/83z/n/xW9A+bJ2VqV3d/+/VezIzTBv+o/QKNYDUsbfxgrPOxb
a/X4L7sxXNT9WDqJe9KbAs8F1R7BlInsOrP7fivKkUA0WSeHMwXlRzSXhtlFyqL9lqZ2VyNUdNo9
zW18QuN6Ge9Nig+fMyVC86ZJ5vln3CdpRCCIDYsfloPU/AZw824AQrkNCUo9s/OdHgaUB/ZdlPaG
J1gC+ds4LtZ5BAP9HHOnbjcK8iTMAnZNAIyruYAANx1jz0yOozXmW2iEzbCx6SjnfFVI+43jWP5e
6sS681wRIp/Hr33SmNcs1AYVDGMdfgCaLe4i7ZPgz7S+UIVInlY2r2YYjV9nhiYArF38wVGcJbkX
WWgK7ezcQz33imBeJIYdchMkonFsbTzOWB9wh7WHqky5ZjtjEV1GTQBVN2uHi3/nGmRuKmmeRZxm
YPlTRc8T+n/8qoBBHGD4dltm9/ibsUgOLdJlfdE5FoxSD3/o42LE8d1gDUcLHlR0oCUi2jMvuZQH
mONer+ZaBgof02MRE4naK8qAHOI8scArTmxPsbwsjSgAlOi9Lavfk9x568BoWbkBttf2vggznKph
lm5TFiEKWnDFaNTM3k3L9YsGkYW4le7VdCAtZCV2IU0O19EpmkO0xLi/NL37EWuh2/teUsCGMsGa
PjY5CSrDcWG7Q6R6qLycY5SGpH0H1YQElBup9C6xl4pbueWML/nAqcEezN694VrvcGBXC/nAMHK8
k+TU0AcRg8c278r2royhkuBwBwiBkt8E5jTHFWSCrj+xDAQmacdzdO/29UfHdxkOeq8aGh/QDT4o
c8hNZER65TeJqfqfZStt7RCGbv4cDqwcRkmLFxWaqUR/t8fXmt3yvT21Y1DVpUWAUMJnSGUjd0bl
4WSaE2O6U30Xpc+NjogwPijNTRi8DLTNfu8YY3KdFie+L+jhMfI3Xl0BLC0u2oTndoZYonVnXbVL
hSRFEi2EFtx4QWHQiWOY/fhtsib76C6G+BK5PAYTeJCuLNxuhr5TSjhuvWGM5SEsjfWACEGk5BPq
j6zeT0tvZruuIBmnpWtdQgXMJcqoQSgN9r6eWW07vS78pjdCKsazBbMb7h7O4NywIkkBWWYAN/CM
20oHPTRX5pVb+IGljXVWNaUri95SlqyXywGvEc/7Gl4sNiNdV0HpgjvaUImmA0eqFjvoukH6sg29
HdWj/UkUbbFN0sU5ytmbzoNE7J2aIts31jCAWytUc2N3zXAS6VBcF6M0yehVtrW307K/al73oGI+
mBnmVoaFLwYdP3buZm9uW5lBarN3rZK0e9IGGKb5RG9EVxKQT2bLeGzNjKuWW+BV9DqTzjU7ZSrL
MHalU+T6OBxxbQ3ZvTTLZ8+k9iNSfLBBQB7SProSWIyRaOgKCzn7+Cl+VQt+OliYVtmFP2f2+mxX
0xMjfRzo4+LRAW2qrcjtce+KVFxt7I6UuqlsuxDYJ01oFlvb8oDqRGY33IIc0rfNnM5nIpXqq8xN
k805yS+SHxih6zg+OUPvPMEnJMA62fnMRarjmuJAhCo2iRVqZKYoi+GTH6m7Fdi+4bwL2G7k2oiF
zD3AeTMPA8S482RoHsDtjhxYKNTg97jIfJZz+BuSrLkUZKj3Dhv0m6wVr2TnUL6pUgGQUagNfOoe
Z8GqFkmelIcpJ9EWKlnmvh3lPNtCpnxQWUuS20wWbiKupEiVF6GfMWRq+NYYqu/Szp3eRtrntkSr
SCOhH2x1t8bMZzog6Tu3eKFe2r2P+whaTMTL/0JT6k5Yg3axsrm8I5mQBEse6U+gA/OPbjH7b44R
mY8ODPmHpomj7WI0+i6vwR+NqnePqc7ulSSjlm1Zs+RcdONkeExMWZ3cuJOvsuMtLWUzkahqylvX
qDumNcu4Y8ee+Z+IkK6YlsfIKMjJFZqRXFh29GfSxiOFB3l40GMr9ce0ywKanLhk5tEdWIr0kCAZ
32vZgKUrQwpkJSGjAHlIiJUfpE56Xse7IkuLSyLy8EtcKtbVRW113yH70QMB2Tw5izHrsDuHtIsp
Y/5R9EPmK1mrJzlKgXMshYSew6aKgDZ2XxoWiGciWdNZTRXnNKrfU95vTXy17MF4FNEoWCKkNSuV
pqfWEyjGV+KcwKE5FN7HXYUswIWpOXBHn19jorhPbAZwmwy2MW9Jk2e+LkyFZE9FPCjqh/4TMhP9
TpzRG6o5wFLZE+V7L8snmqaanTb5alpi1TX7yh64E2UrzUZ9gm3KlXEDeLIJFjkCvqlXBo7bQ8MJ
Vy4Oh2YuwWCICVO3KzknipdhPwHTmea52UN/odZkJe3wUubBsNJ35MrhsQDyDJFWY8CG0fPv+fhf
mo91nbHxny9F/0/++uO1+OuE/Pklf+5Ezd9c8kkQTcFNEPv5hVzhusShDIHbEiiD8bed6G9EDizI
FDptxszEjOh/kiv034Rg1kX0x2mpg9D+Hw3Jfx2RydPaa5Uve1zBEU7+PR6SGrUwO46QB7QNos/c
rvDeeGb338Qo/p53WR8GEZF9LGlUl3DGXydxZXTtMir2rXT/Gk8ZBPVADrp7V0yjVvx+kvvLOeDX
uf/viZd1G0KWQZpCenhSVj7tr1M/r0XaeaMMDwvzy51ut+MtkGZ69JQ+M+IWeCR+ecH/P6kqJo7/
51l0SLUZFpEU15COTq7t14ecM+BAhkNOOAGlxYG+qfoz3X4sDCrayizf9SbvGYeTFDt9gMgfWCgg
CyI/lZCMAxF7m3GERjjMnM/rNMHNV81stRav1X+UdNjSAobziNoAbz8pPLzsM4T/uW5ZWqN4yLMc
X5LW9l+M3i5PkAAYlEJWgOHSJxcT6agMZFTG+6WB5p5E3bJt+q54EJqp3r00Uc9xZrbPWGZv9WFJ
tjDgkBPoYTso2Hq3LNdt149TOTyIbig+lFTVnZJT+gWEIFY63OU7rrYlnH0gdkNVTge9QlNpVCP2
7qjjZW+WiUQsxUB5L7sbx+irS1u7pFEhq7/qeaRxSlibnlptOjQLSHFMe14I70MT1U9ukMUZc9JM
a6CKBywxEzlYUu87vRPttyTTvAnIY9w6XYPFZIqm7ptnCWvpznFZpzvnUx6ZPqUS/VM20VcFZVi1
lHRVVVhDi6v3KbVAzvPeUrej2ND4FGMKsSDM0PYy71rkS/ICq3KTxbkLPrc08zv9U9oh9V2dV1DR
zbIqP+6qAWVh0gb0RfHe+5SIzFUtYpl7jecEdXpOl2u8akrdqi4VTjXuqlnvd+6n+DRXdvGGvyze
x0hT+JvqIKLt/Sby2JpsDGXFLJp5ckiQ5LfNqnCZUmgPgAwV0/YqgHWzkVF8NerIYjDNdAY87dFc
VTMoCuZhXJU0uSTZWQes9xZ1dv8j+5Tc1Kf8pq1KHE9BF5Df/dn0uT8ZU3spc+JLhIvf2AJjkEPS
C1dtL8uiL14Hmr9ZdT9oIMDgqduik2AqOSCZ4BFClEKn7m/ST/FwXnVEsj3pK3pAyB92vstVbYxX
3XFeFchw1SJtREnrU550V6XSWzXLeVUvZUYsimXJ+7wqm1ar9bfZqnb2q+7JK2v9qKm4vKOjgTXc
qo82Vq+xu3GvTeMl2wERVcPGfmGhJbZiVVhJ66jt5MFGKT/1VwMldkGSLZFmnU+RNvldse0/5dvy
U8oNP2Vd+3eNd/kUfNWq/WafMjCltUjCy6c87H5KxfnvunH8KSKHn4Jy9ru6PP+uNcMJagJsl136
ZOIEjbDAGelMDOTJYW7ZegbJ8dXtjvULFlhibaxGBzvZu2W5n0ZQHy+zZkbuzlkyQQmWSyIkgEi8
uLsu7RAKWIb29o4zkoquY2bxJ2WdjNHFbugG5FTSltN9hMAGfKC2my6+8UJtZC/TsRn6JmoOplSE
l6EWb6d29sRzOkyateMsbTlvzhyjI8d93GunbKmjoX2ErEYvFwW4XfaNEEP26I1Fsm/xnawP5pDn
0vv82QkXrfVDKcJlM4GSPlnzuHpx1YiL0NLwR1i9lCfalZszxDHrIAptXd1n+AqCQnnGk4irCHNu
s/5nJ7TDx2UZpp+2KAl4lOwodtTpyWOVs+TYsO9e6KPOzSNMk/L0uUjvi4Ewf9GE7LXpA2Ojapqg
N53RMXYYZCrCrxgIrNpj/9fpuBwBDUA+CEPv+9zyT02vlY+qw9aIlqoN9JqMU/EwS7N+N1HBzvwg
mCiAOlc3Nd4ElBpOEPEWwnV1pEDVu8utxH7NC1pUNpJWs13YOcWDNkEA8jO34GfT7Jr/Z62mAoot
82ep9/N9nqW2ok2TVXrECr7edIwRBgdZvBB8bvPg31PgvzIFQgJdkV7/fAy8xtXb+3/gBHst3341
yP3xhX8MgwTg10nLwALn2X/FmPG/4JCaOmaav5Ggwe0Lg8HiE6Ov2+IfdjmTb2cydKxJev7z37TR
/0orBUH4txGGIDKjGXOlSUOELp01Of6LVtq0fFgLD96r5nQ06iF7PXJT7JNt5OKkSYT1MrGrvIVR
mWAurl/yyNKO+uRcRDVQ0wkJglwVi2LyAkV5j9b1TA4sAqVIkdOuMic3UIMmj62BGcFko7RLF24f
budcapyexBGN+3Se2ldPFrf2lN9KbdqHfR0GfWsBMZ4Ka4OcB0OlTT4GfUguBc8jYcIa/1FJTaAO
Z3/DjQHRS1c3tIHd24AbES+n14rNIrsnWupMkEVtn3x0oJCCQkbL1qnciyPn/ZQ4tCdF5YeXlbdE
AK4gPKANUmFpiux2WNS9mS43esSfalMNnlPyutS0nVWN+mn1eGBH42fl2C/N0u2qnNhTW8TyK8bz
Q9K69madKrZVB8Wz1NyL0cuXbMxfHR33jR5NV73NbtdngIuQG8C5/khr8vRd1Kc7mcNDkwU2MlyD
bDynkfLb6eqWM8ORsKNjm3s/8VZ7eyM2D1G03GSDqI6K0zGxR+YhSkp800pOIqYsdM7mJzterlMN
s0dmp2jOX9smxRtsXZxYtvbGNrutyS80mclH1S/3Zs5rtch+R+s8ZGpz9e/j7aCtBhlOcMkVFU+U
iNuQol4w1aRe4m2ScZkcuG3c9HS2bCNtfS7j4hXPxrTRF5Vt+om79PpYNRVMW61R99yn7nsx7ckh
3+Ca4do66je1w3ZzzOIPmfPHLCO5pbj6RvDiHNyKStg04TeEwfyswj5ktrRpzPQk807HA7FGQ1LC
rH5urfRULeq5NZtwE1vzE9WG6Nzl5FOY3AdhlbyCSfK2uZh/upW6GbGa+WncJpescV6SWf/hNvLO
o/bY55S/W2CIK2toD808PinYfklSU1fZykNEV+OGLAOzXw+yZxjUjU0jLxoCr6cnOYV4Du+EmXlk
04iCW2ynP5eR8dOTpHGLGZpxH+WoyuMTt+Mnc84/Ch3eiW5DNx6K+UmGBh1nSY9Li4jtVtla7ANW
IhyxPu9GaV8gKL6wpUvhEFnkPUzn/7J3Zs11Imm3/kV8AUmSwO0e2VuzLMuybghJtpnnmV9/HtzV
X1hbaum4z+3piHZXV7mUBpIk833XetauXf49rnMVsq1aDaZ6iOx6KWgyHTUDU4jQysfY19y1HYcI
8jS/p/vNtEvHgApoJa31BKrXq+ypP1aF1R8aikKLlxh8azil22ouM/iz5bTTqbmTclw1a6Gl5gsa
nMepr9W54SRkAvFZYgNCQhQJuhts4HSfk3l48u0CFzKRbanax7LK75Pcv89GVC8brDqgiyDKrCGo
IY9MHgEw92sCfbZjiKaLLvimBDmxrfAnG7h+leIQO9bB0SkgNyi7uky18DovKAQPmrwneDUgGNKy
tn1nPY35VL/kOcCbXItDckirlWOjwCpnV6FKzci+I+gQgRbmvSBn+s+xeCnImmWfkVF8REwK6NDY
mXbBc+PoRzol0xCtnL4ZhXSupG53ewpsPrB3+8HWFBDgajj4ff2L/KwzqZLjHx+dd46ip2dfeGmC
ogEbCjxmWEuXf/7HKh7Fiji+ISk82WvULLuqJdZ+vARxdTH7hvrk4Ht67F1Gc/mg0WXDykYY4OvR
XDl0uYKD59FrKrDZJ0fOOvQmCKb6ZKQ3FAbIc+aiCUejLiAqn4w02PZoxhgoPIEP211iwJflOCb/
ZU13rSkO/JW++/hennQPJVdnApdAr7646/jf11cXmLkbOo0PZ7q1Qnho/V0x8mJrpvTY8RJtz/VS
4z6rG1a3j4f+3Zl8BYlZxiY7Crk8IEDyk16PXZIrQ2Kek3tNVpvYdDPnesLWuiwXZ4R2Jp7uji8D
UvVdMvTIqPuG99bFo1cvuhJFxRDyBJUGvrqmRSRLhkYEvq1whrMBB8fKUZiAwCavqiK+yFW9y6z+
dsyCe51j5UaN8rJzUm0NaZ+dN3T774GFtFU6LA8fX+k7U4gypi4sQ8HvEacgFJFGbsbpMPdC0exk
oV/r7nyNc6/65I7+rvqc3lFpkEWEWRJuyGmhyx1gu/EPmasu+/5mRMFsRHKrE7q3ypWLHtNJLlrK
3TdpP13brZ7dhAHfUDkHv6qedXnZqmCySRB6jGeB1uBOR3VPLvmlWfd7QhiwppdRhmsyVPtqFOND
YIlpT9wXGsdois46vW5uSbS9H+tFdCsieWwjB5qjatFc59EvP7IUOYok7ZE+UexHLf7lF/O9E3Q7
2m98vEvTCyfLC8M8IgcDTRWyqbPE1tI1XdBrAIjw4gQ/G3rDY21hCLLR+35yI99ZYagXLnxs3bEF
R/PXM3O2OZ5Kzcy9eTB+bydGVjYUdXg2B9P7eHKww35NK+ItQCsgeVpIEOn2vh6rFlNkp3LKPaJN
b2UTHVFLfrJg/n6TTuaFrQwh5fIr/LSTMaIQH1OKDcIr3L7Eljni1fPnl2Wlj2Zz2rc1/kkhqY+K
S0JIwy0OqaM2+t/A6z47cLFXIgO8STqV6fUxH/GQWtSqnLILbGm/ZjWYW9uPEi816TvHyDVXnT43
5yl5uiiCvjqIjFeqcSCScJRdpxb7FoqbLVFRVblDhMtpEDDDvhtL8l5F9MvKmYJVlFz0Y3Lk+D4t
TkY2qDTq6fyB4VuEPJypb0nwDUlgnP/ljvqP1VX5zhvLsyDfjuAYIt0s8fqh5KJcKixZ7hl0qld9
mEXriPbMSmgJ1xxyB8Dbxpt0ci4zS+GRbGqdJk5GKCJz2U/yrabybjf4mO9bZRSbLtQfhpgev4Mq
kp6RuvQ7/BGdb12GBGVtrJqVqMSDtrHj6V4XwwvH7FVkR19Gk90huSIol7SRIBQdmwG3qcSoscdy
s3fL4TagBQQVgfkpSxa+RvUoGih1bzKfmqmw5nvwnv3FxxP3nZeEb8byHwPIlzBO7tEQVHbaDrSs
Byen+MTxAyPI3pUYGf0y+OSJEAv09j1x+AqzrBmGAPN08k5W0pxMIbscGlKTE1BDtYIIySP1To/w
+QgxLFNynjgg9QtIkub5QxSkFwSQEgdT+Ar4jFsiTu+rrUuZFQ8J/LN8cp6BJZyj579KXUINQpfd
PrJsc2OWzQs5lbdjOp1l9vIxZpoFZvLkD8suFbtrPOsXVUeDcyzEmu3qFoOis2t5pL+Pl2RjmJvI
4je6ACCVtqSNlkO/K30a4ykUjsPojNe/D0GgZ4vNgJ38mHfDXdRykHSgOpBawFHPmoe7ug1IKaXJ
7Zr9nUiMa/JBjwhbqpVhd8j6kmmz/IWW8XdwajEhy67fGbJutstr1IzWJSaqOxUsBwgLOrajSm2d
VuyWKOYQNwp5xy753bVmPVSxxStG4NY5zeyXekFId9zgOI0uIpMzizuyFZepfIjD/nagtYO5lxJX
nh21Pj7O2SK0CXiB2zY9cijeZz5fFvKnmZi8HWpoL1LDegwb0r0Sw7rsm35jinpaLwejcSn8o98t
wKRal7hNHwRuzk++x789cSfrIXsduAZY1JhRp3i6dDLjSiCH9hp7esmb/rbR+e71HLOQ0sabZf/1
+6hdLP7kFlwa+Cve+TyEljY08DRi/rUqM0k8yEmjSdyN09emvUnbgNhn4eRbd+wmLzVwUfRRgpA/
kNEWqlLwUoENu4DGH27mgO9iS47Jec6ffT3blGk11pi4ne57k+2WXpslxeOoW48Byfapw8464GDI
9zBERI4Il222HXd3bc8KWov2liwb1Ds4wajX3koLrkwBanQb1Qm8qgFMVzjcxT521cwg/xw9x4tq
8CPUZXtrczrwkkhd9nxEOGR2d9ikrpfdfGv/+/v6/2Edn8A62GJL1q3/XGG7eIryn3+W1v75N/4p
rSkCJ01lSXpoS0vzdwzAv9mSxv9APCQEgOWRLutC8Pg3p8P+HzYXtqA3qQtnaYD+b5tVEhCAsJEd
OPU1HdrgX6El33w0FwuFzs9ZqI+KNvDrj+bk8qq1EzkrZDFN7taaLtAC/HE33jn6vR2C9rK1kED4
LnNoOBnCH7oUaw/QCSTB5JY7FKjZtCpu6f/e8/9ilOVP8ccBE3ET1XcAeJ6dPzbaYzH+bK1/KQ3+
4w7jsws5OXfZUSHzomeIbr6x9Zspoo/4/PFVvP0+C5x99ImpddJ8Pz3aqTEVeU80gjfA6Fn1mhus
I9z5GY0KKyQ1+uPR3lwQfHzdZitAh5em/SJ4/fOe2aM1tlZh195UBNZKb/glymzMsUH5T33+//7e
MdSiKHAd2puWPO2z640qOXkYXFjoBHcj1RS0+b1xobefHslPwTPwZhjKRlxLnunS2X99VUZi4eMx
GSqv8+48SVsgfTWlKn+cR2B7Y7ZHijP97dxgUJxBdPf5xgn3dFArwoaoFVHjTQl3UUh+UfSBV77G
Lx8/tbfHf4YSHAltG9GGPKWMJqZWzmWp1V42hSZbA5+PgFbhJEmEPiI+qqvrcsKNBAQ6vOhSlJwf
j7/MitcfYsaH90OYNJV5oZ/MmimQZQgOrfGcDM+tyrlAVQ1fPx7kbV1lQXQyMS19WSJPq/6jQYm3
deENtm1l7O0hhOAY0Ou8TAVAs3lC4Ii5YtwWdVbvPh76vfljogwXAG4NF5zn6/njWnI0AmHWHvWq
aVuaFmIuyDiosTU9rVZmEBI1HuK/+3hYgN1v336kOJKLhUYg2TGf3NklZysO+grIopbXS9VeH7aR
Dv4NIOvsWX6S3pIU5aNUA1VmNjppWY3JI4hHYz+N/bCPSgLMYWaYxjqi2bupW/tGWLgjN3iZh3MX
N9uu8MF8mS0VGhII/S+RLjrwFxho7qaE7qFNVssZhxF77RTlY+bgz4I6vE0LowcMXK9RHoY07F1D
bRLNDi/SEsdfUnUFfH12gKru4kNI9PqZ7szqu5ahd6WwPYUXeqWpszRYdk261mxDzerP2iDrmKhj
m9KESTo44tn8lWDHdBOWoCpju6JRmtlHP8LB52hVv4EvkO2laM4lPaCv1EnlzeB3xl7r7HRbmHV8
kNlioe0MuWsS1lB7LI0LR09IGDHluGIR6m9Nu+WHwDc4tylmbYvZIVG0nxrjwvfBHBVkBKyDogtv
wPUNL26bTTf9DGNprXzUrHYfM140/xwIp3ogQLPmzOam81c1kBFNcLzxs65Hah9WI9tf2lIAXuOz
au9dETnhbsRceEMYAD9oucGWROI7WYIiO/ZvJICW2sC7bM8Rp5scWRdLkI9+Du14gx3JJSEZ7Hqs
XcaB/Nk2mlwNU9v9iBda4Sx+uujxv8OiD9ay06KHFofXAWcmt6QOeZHygaSMtqhd0CXVTMYYK0ac
ljwECxjPfafz87KRP0c82skxc63mPlqmPiBA+yxzuvCizAZ/a1q1sceAtghPRXwIcrPfQO2vd4OA
k1RQ60G7ji8ZacXkb6H/6PC5Uic4WpMU3mxw2IFxR5esits9KJaEWM24/wKaq/tCa43fXLsNE8OJ
CF8LJgTmqZ8cHdZe8BFFt+3pJVw5LrcTTB4IgqwuIV+xbbpsBzeGripUtqPBh+J1rCLDBwvoG7e0
h4KbKYgIhYXSOGI6iqwr6AbxPgwCfc/Jy3/2Uf9jERCafykGt/DXCVEB8IKINYAU5csr9A0QMAIS
f/BUyONU1tV5pdnGrQGh6qBwGV77mqntmzI0r21sl+eDtO79rJpvcK43w3q0et3rwkoJQkHRUHTd
iAoWyqGPQmRJXywHAD6m1ml7GjTOLxknzi8t8EElaQ0ph/hankNXN7ZBV0kD0ryjb7WmdVc+ZFPu
h4/qeGPM44+0ariTTU9LIgQH5OG2mzx8q+I8JR7nTh+TeetPwMUZzDL2lCDrvTXI4cERfv+Ygye9
AW2ow7Wl/7GR3Ug9xY56c5VRcn8xEiT/+O6yS3gcwxPYxfwih6d8NRqzeZe6LYfJpiE/dKwgVgwC
TALV93kXlLVzjZAsf4KLOMAfnsbrMQ7by7GpaMeM9nSBCN86SzCn7Y3Kwus9tepLSZDCBmfX7FXQ
lfs1SPil3ITLIgR04Lc39axjUJt1P8EDjD5xE+E52PX+AJk/Ui0gOcI7vlTElP+wZtV4Rs8ilGhZ
s2dq0HOD1rIrp7LZk68WgBMqI9I32XNtO11WZylw43gVFlV4N4sMJR1AOX6m5YcKMxhZscLO5yN/
2uBOGMV8nPAvn1mxWApnflStSTnR0V9ksXtwOCzsCkodG+x+7sFq3GKHF65Aaxtoe9JpIvqXymRO
OPj3dhwQ2q0+1fVBwyfIZVQk5PlIuKnedT6VcyQa694nHIomFhscAWzrOmcT8IykmFTiok9u8DA6
+zDWOa6zCjxGkTvjV7VtrxVx/5NY9nknsBCfCfQo+6EAUQLQKi6fYNIYz62dNxN8ssj/1XBMvZ8Q
Tl25hk5PZfntIlcW/hdZH6YxyMRqtuzhih7BCHsdJhvwcogRzOGZu9vSQzYCuHe/h4zmhb2nGoky
bxIu+V5pu+Qdt803G8LGpqfij1WiNrVthFvlIl+AfaIJxK3MR/97LMPivif5a9+6AOGw+PvbCNQT
3+pFR08aKVitjiJO0T1Rzm0Pjq2cZBV0sUURKiFgcVjy96a6v3Th/4ZL5IsGCdqNqD+N/YWhtYG7
Qqo5eoXmkj/plEBOa2Gi49adPjvi2BkTlP8Kjg4yOnh6eckfWB/V7LkQZb4YY6M/tE0/30Sy4dGV
CyzQKp2c/cxC3Z7LjmERTfvHcUYWZ9QdTDu70u7KSMHj09DcbR1zJiDRNutDRwvrh2vwu5M0xnNU
K+vMR0m6D9SCuarQfvH2a86eg2h9MEstuR/cyCVpqVJf3EpBkZM1GUNtm++DhaqIlXH2GtdoEBHa
4/VvgqFpgAgsXAQKaOvGa7Oe5BNgg3Sbl0xw5S9tdmb0mgosBgSp5z+xFXcH0ejNXZPApWAiBdcq
1ALKqp0LhwHhJe10dx/VZb53sPw8tJxFaUFHwj9PB/gp6wZb8V4QN3bdktZ9M2t6/7NHyfU1g/G6
piVNorJDVeNfzylpR//XpINbHKUJDlCWxiU8Mu0uQKN+DXxgOsap6LaaNUbf865xEGf2407TO+sb
KdzyW19r8hv1sumSL5XahVWobaYo0jZaKUPP9v3igvyj+rYIs3wrwFhutcQcYedx11t4IpsF0H9F
AMxOz/OCD18Tn1l1YdCzIoc072ZoKkzE3WgV+pmN/HSbu3F7yKbW3JZVRnei1iUvsU3USSem9Mp3
jOBgZCGKvN9zecYXe0MtmJoPxYmz2YnGS8Qv/jZDf7perEnViujV5Eqv4uygplE9uORU7VtfJ8SI
BFix0WfJ45+r+SJpcNCDLHHXwYCGZa1PScgSaCD21KLnOiHGjEVhOhAsll+RkzzDNIRNuJqakqL2
WFgWRAnsXzPWgh3pcS6cO1rRXWLHV2YSajuwvMlRdpl1Bhp+vDbsQdv6dTni9m74dNthjherKjRz
Nc4ZsXHCqP2IfEGiiPk29Qdi2Ki4+7IpL4Y2zQlvt/PirivGfNex4LAHyu3mzJCixfwLfqLuVL8O
wnS+mMBNHCtfDTtTGBoRxUmu3TW6jtfKyXp2zJIebNqzbOgB/UrylxHPzk1EudDp6UnhzM73rZGn
93rHdMpKSMSmGxnPkLenCwnmCX/boD9PdGE77GagQDUJsDRseDEjokGO8zjMN3Vi20c1yGnr0GvH
MCZAw6EGoK6buaoH7tUXrHTwLuYbXY288/AhUZn4/J87qVUB4hQ/7M87MrzJBkrkNaz7PFkBqPE9
kC1yH5F+c4gdX1FmjfbLFV3ZIQ0hODfhpTFHArpAlH0haBwQAZEXGPBDbc/Znsh505rE40TRHEVM
Xn3BpzKBR4y0s8Dvr7tyItdeViAgYu2nU7U2BWjyhbvUWCEE98+5jGST6gUrpxU09c5x6mFbpIHY
+35Eoh77kjNYBnVHYVq3t+wQw2M5W5hFQ7hIZVSsk0ZlL1QqX5rZuhoFCBsxDtmyb6uwidjwV+bo
bijCeV07WuCxWu25EUs+hoROQV79zk2cBy3HRNfGC7ATZY2/cYbFGGuikdGdVjvkVim3KRreepUj
LWFXJZRkxc4vxtK/KPMwADQDX0qR5hOtCrPv9vMch49BB/sqGY10iQ8Z++3ozMWXUioBPinQMflk
IjwLY1Ve54BSHrQAphZf9ex7o5XdS9nb6ott1HLcpBBBD10/zccFd7aXadh5wByscVMElbwmHXm+
JiKv/lJi7tr2GUC39TjWtLRnpVAVE3Tt12G4B+gW7/oqoRqnp9ExiA0S3o22enbrOTsz8EB6pDtZ
br0ZCuRW5c7pEBOfNfkz23vj+8hx/MJwuxbsurCKm76KUbCghBuu/XkqDu2EYhXKBPwyp+NVzDKs
+gkc+AWIwVOEwmU9SxCaA2CdebqSRhvf5BZ+faKs6u+qZn9FEHMoLifK1t+TNLSPiYzyb/5kLxwG
3Mb3+vKFVAY6FJ2oYG/M8+4sjBx5EWZN+y1v6ftj4xqOeJv7swEU+0srYx/XqcHDLbrWv+7tMvuR
NThle2XIp6aJC8ErUtpHg47ned1yAlcaB2zg/rnkrNvIbjtprfxq5na2TXzLSFZR34eXhTb9THrb
eRCFnW9p4Tu0wdN5ZyG0W8dAt+hNEvGwRiiLfL/TRmhpU81KFqexFxOYidTY1nm8fG2PRKxl8PTM
GRSvswmact40UXanpdHDSLQkGOKYWG1XdzakPnAoNspv4IRpOKiU6oUubfjsFjvjPQKx7K4g3fC8
nVNxqGufrdQ2yCY/MNcyKZ1O88xm0DKP45LSfgJnWJAQGBah2jr3gCBynN+ds+cUM9DfjPyvqam1
xGvb6TVbxfhpNMzia1wl1UPZlYQSlpo1gVbxaSztwZz45HQlbGkAgeU30jRQwjdFND4mtRJL1uYQ
H3vR/QwGh64wld3z0XXyM5Od7Ute6oqILcT3Sksu56JPCf00tXTfJnaFfTEuzhNgOsRJVmV7SSEw
uAQ/iyBOpnGzdRwEP6Q0++umxo7J+/8D2+MifMbEt+psSMOm385Ht2i660SnyCARIyNMaEw+XERj
G3nm3zSlWTxTBnsk1GJ4lNP4Ze5EQ/ylgsil5YNBgvfMyl5qJuHUXfoF1cDQrsOwqm8tPW2yNdEP
OxV2+m7uoZZZzHhPcwq5D4mePheJmlhcgMIdwszlbBqL4NmaiEjBYlCsLFMLAPyM9h1HHb4n5BI9
+pmtb2Dff5OjHM50kDl7fgrgpLFqv8hI/rDB/oFoa6fnYPb7XZ8MxD43JLdeuO5MigSs55WL1XJf
BTGRuJrLTTF9+5vdh/Iu6ot6F3cRLyxNqNWQs6eaQkVepWbtWzMU15xB7lmQk6uxnNWxqlSDkLFV
2zLN/afCTeZ1Wg8OZUIzvlzkdZCyNE4xUKlHb8QjBFNpyG8JnUS2KTTqzVl7aJ0pu/EjTV3blQ4s
LFbikuw485cRYL4tYrBTdRcFRx9P+FVujeE5XUrrC5wxNw/W04zt/zvpSys/TJp9xnK77UuzhCc8
6je+3ynMzGSZkE5T7KceYHLLirsYjQD/u72+r9OOKHm0JKOtq6MZFEgehvoRmIztxUHIF4uN4JGF
VPMy0+3P2crZiENBADRBlbD/LfJfHSDniA5f+WxWcfm9cdqu4ghQhckzAZixfmbQej9zBj/eUC0Z
mGyNuOuENk5rzRWWexmRtinWRV5V48oEVoSfIKeMvHbC2r1EpJfe5ZmbrzJrcvdh1ASbkhLWnRLN
z3EEPaLPbFXqygSXOQ8vwK2yo0Vg3JpNFYekqp/QHyTxIYtcYwEAeNA14yPvv4XrWN1niGbRfEAe
YFeYbih3vDQCwnChTwCVYr6vsEG9blRPNkeQMQb0U+s37KEWhiNlIq1zjBfppsOZLCxzqyr4KOCV
66vAN7ze1fxfIUDca0vXxE0zur+qUWr3Aa/eV8iBdbixmqICsliPPhokTOhabhV79F1EcURVvlG4
TVZOTgXg40Lo2yoopV8J2l5S4sZ/eGKTMxsXYGVE/dWuYhSnWf8V7zOZRIrTrYvS4r+o3ONVBKAG
8gOT3IkkIqgr3dCcieGa1rqrRLXnBDBuK0gJn7RbjKVyfFo5Nxe5ENtwOi6nYkF3nv8paqsZC0jz
u0g/+d0PTNnYNprUuKCupO+VM+tPob+cKJGG/hfVe1JyFAZEpBdo919Xt4kfa+ch0KFh2oG8sbqC
kl5AnfTjZ/heZ4lHuNSwdRqfvyvdf3Tj5OjLTmb0YH63Q/rYpx7pkpJrSEJ8Ph7qvXaE1Bcrq0lp
zl2aqH82sRJ4Rv2UDnSWQIBtiEJ5VE7x+P82xklLKbJaoXhba88Q7cWs6r10spuPh3h3cjD/0OUw
Fa03SlLXjZ2hFsBHSz5gF0GniyOYYKrl/RA9hBqtFniK+hXe7n4DM1Y/OL75WWvn7auH/8Kijsr7
R4rdaQNCWiW0mMKFLmLAO2iLVmGtS6rzVIthJJZuvvn4ot8+O8ZDs+eymArDPn33KvZWDvT7ysug
3KI6nm7s0LA/WU/ezkWTHroFDUgBcHRONU9uAE2qTtLKw5XfrZsSFUZR9ud2TEHz48t5ZyQuwoHT
heUWMeLJNHGbKJqnySk8ljYUaFpzZk72XVnH9x+P885jQnordISpS5tYLh2sP94uVWaJif+x8OYI
sHH6pKH+jZN8HRGp8PFI4m2z0Xw11MlywUFV+UQ/Fl5HNtBG5jJYZYONSYBAwm5b9QDpJyAae4si
aL2pJCU+gj3874p9K0IZ0W5jWkB70XCWRjFMFSyTc3K0nLg8tuaoHYIhnC/8lM0gAnsTLwklYzZX
LZaHNm6PsIjHy6HoKGNNHSk9nLUBkAFl/ORC5VupGq1Mivu4TvBcoxt/fU/RS2umm3fc0yZsv7lZ
rhPM7NwCxY2esrmDX5ACH61T/3s9EgBn4yKkcaUOisCoyKI9Y1QlzPvuK7ZC+NsqXOdFdlsODvp2
TpcIRKFnJwNFhwi8ENHqQAeDoYCj0EOL0WINxRCp9qibSFZqW0esGSfecI63zxOJliFOXEKvWK83
LsHVhF2PG8nXB9JuIDQ2j2gPn21/yD/5aL0z14hNMFBw8M3iu38y13y0d7RhJ+5LDC2nN1zzwFMf
4ZLWcbEafXP4RFv7tvMLb9FGv0lKIxCB085vVUgMimVWeK7TygNFl2xbBXV7rsyy3ftO0J6H1F/u
ZATo++PJ/s7rS1tbV0qgxXkrvkD/1mthp3KPs+700GOoeawo+t4hEY9/fjzUOxdJl5fViAMP/z3t
odMcYdOJH9tDoktptDeo5FMOBsIZ5/VBNUkEe5guG6ZTQeXu48HfuU72VeDHdAuJxBtpu41KkbNn
joYff9G+gs0XjAH93nj6h133F6oPqPu8TzYKI7S5YNNeLVQcBJsAXE/qCcf5NmFr2ggHvGadmuZf
T1O2GwimEEYhw9BPHR9lA6g7AFNPcxHi+ayovpjx1TBYhIsk6sff3kCpkxTM/oa8XHq6p1vGKC3x
1xNgTm/d9LAX5QWNBAq7DUD15pOt1NsXkMHY2rA1sOhqnX6+KhrEoeoyrkyTd6Gpfatm5wfk+rtg
UJ/sQZZ3+fX+lKHQ5+B4EHxeThXU4LuiCRtg4pllujUpmLiFla7stAeAmPdHahWf7UbfH9FlK4pu
n5fu9PMCp80plhEroz8mbvlUTMadWSdQlIkEBiov/jafFTEfG2/z966DEU9mpNVw7mh9O/G0rjsS
4uZJiRVf6Z8M83ZjswyDRoYQLnYfp8oqcAzobfnRHjg67U4DsX0oR76IH8/Dt6sIoxgwC1mZAUCd
yqtHTYwAx4zEq02OtRz31mnc/bJzdRNXZN91zgxuvvhklRRvv5SMysKBFhcxrjp91cBPtS76l8Rz
rYlSWArifU2MFpheDI7bOV8AD5ObCqgOMgnX9uyW1L51e9+OVXDASJ7uoLLdzZNV3RJbkWyCsmRz
sGwLqgJ8PNoY9dUVg/KCtvknQ+U/rkjvPpgF70hHYLE1L//8j60TfckwpbyZepSoALlOboxngmLH
xw/m7QrLLUJXibYO29ubLWcmKz4jQZF6eWunhDD0np4Yd47dfrZreeeFtXBjoarEQPgmY82yUxP3
X85ChAWHbraPPl3p4+7jq3lvBVJsARySzslOPtWIzrEuxqDTEhQExIxBIFw646SGNU363Mfy73fR
nBktAzQm9jId4ubrR+S0kcJYyys6Jf6P5d7VkbrJav/bx1f13svj8LbbSHI5GJxO47GBzTgXvDxp
ZDnXyWRQZ/etH1Rci10dWM7LkJbxARVL88mn6r01bwEusa9GMvjm0EP9RA9N2Sd4osVVm2tPcxzs
yvi+jOcvLNefjPbehOfYg6cfC73zRi2Yco02kUuJVwYlaV3Ksm8GEWubj2/mb//m6adjsXYKPkd4
2U4P/G4nxs6i7uY53aDfR6EOERfFMQhhIPYU6O3ha2w4BQyetr+qyGC4tFLbxJ2GsGueSkV3CY6M
UfndNiVnYBd2XfzZ6dZ4987bnLB5M03rTbh57Te6NWQZX5tRUitsqyejJUcPaUlDRrvzDQhlubah
/J2nuRndJ0PfHHy3eAxp6wLWbI/lQJo7VSTY75NWrtyQ6/j4Rr7zrtHYYgtqA25a9oevJ39q82eI
RrbbQz7/KGej3ekliio/pYk9PX081ju3w/gtNLQWxSq77tdjCWMid8lp2dr7xg+dgsMms/SnZkpz
D2rzAqpT7Sc7jHdeOsOgbM+Ohi/WG31zXwMlr4OCy4uthzAKtLWgdU8xsyawR0zV16oGtkRLtvf+
/lrxJ8HfYmdj/Ctn/I91XwJchHfQFB5ntctKDTXy3PQGWTIM3SS4nxwr+Pt9GwMuZQBhcPo9dcry
rgxtIyu4FToGk4nwxlWem+3NULmZl0Fl+mS8d745jMceyuTDxmbxZGeDYUeGJJAX3tgHSLgl4b96
BbHHRBb33wzlQjHGzw2a7fQjWtoyarOcI5rhFvm1lQLIru1WnUWdYXyyfL03R01eqMWHsEieT+Zo
jy4mn6kM4Dfu7rqw+GlZ1R2ZFjXmpOrG6aAYfjxR3ruNizUO469AR376AhojBXfRzNhIxYzQxx5u
667elNQBPhnonYUZbbFumcBN4JS5yx/kjxlZYr6jm8oREGDJN0KN9s5c3X1yLSY/42RVfjXGyZxw
NajHcvHfoeo1gIZE5bGxGutWdDix/XQgfSTQcasNdblpVBx8LYbaRjFAw4bwxYTiX4ckKo9o90ho
kBpJd9vBmVIvMtsa3oYMb4QLODmfCEAhyzrfZw0KDU63E+C4gMQvy0GtTQTCtWXUCPaAzhq3s5uh
uMiNJtkVWVPvdYJZSdZCP3YVpzq7w4JAyjyJ6iu4EOHeqJvpkFrotHozzC56re49J3HvoiJp1tzh
ZJdRK1rC0+3SQ6FERPswl1u/Cy0Ug+R/FtKMiDSNu93Ht/e9uclXHO8/Fgr6FCdzEwYV0E7F3EQr
+FSN7ZMTllfS1HZmVmx9DWL9x+O9NzXZc7PZo3yPMv5kPCuc8go0TO61FSQT1rFBJIehzT/ZvL4t
+ZEhhn2Cwh81AuWeDEMmbWjWowvWWE9uyjKqEQ45L1XylU7UBV3pdWeJx6DOPzkynULRwRos41Kl
5Y5yuD7dkLllVmXlYFETgYjyEMI2XpGipN2gdtfTLY1zzjjVEofSJn21SXOUQlqXs5BXoj9YSH2t
eNAOpt5pO6OV+dpHHcaEK/cYP2hjufGzZfQc1Ef0QAl54Bu3NRS1F3veBAbJaols1s5sATZuY4kT
EkT4NubPs2nT8ifCbzhATjrvS6JKdji6+PvZbK3Dpo23tmaL+8q0PnsU7z1xzI6Ql/Aj8ECWR/XH
GhHpjZXlCXZdvX2a8L2spkEnX7XtP5lZ761Ff4xzCjvoyx54uDvknmOlOugZ1a2zMNx+PH3f29oo
Eze7Jei3qVNDu16JEod+jWm+K5z1RKgvh/FvRRIirG2mT0xn7w628DzZ+OJuOz1EqJrFKE95V7RQ
ZZxE530vS5BGSBAIgfjk9r23ECjK/nwtsOy92fym5NirGCkFAck1IEo84oY/fSvS+mcbYd4K1Sd3
8g3Wc3lVbE5JHGDxUtmnfZq5KVPuL/u0eExDrB7COBKMOhwEtfhNYWqhJ0sIK2PpmreR7ofeFKBs
DooIoHLgEAYMmeirjS8AjbYfEKTz8ZN+b9rynE3KSNRv8fG8nrbD6DdaErLNGaryp+kG96Hov6T/
h70zaapbSdPwX6novW5oHha96DNjBmOD8bBRYIM1SymllBp+fT8J7nvh4IB2rWtR5eByOJJSOXzD
Ozg0k/+N6wQ4yRFR+po38/w6UiF1h8ADlGBZCqo5/W09G+OmGbo3DtLfha0Up2CvoS2BLcXROnTG
CBg3AKxDD3A8leDcxvpD13jvsAh/XzbtdVVGb5RZfjeBn1zyuLaTL24JUMesDsY47ZOhuY/cEoSr
/65r1Bs5xwurdj2dyEg1Qz+gI3y8/KGuu2KZgoptxp6/9an4OWZomKnSwvbOypO1IYxsXbEjb7NW
A44NS8OzOpA/kZKfXYoqKIqF8jDYwJahtkA2SPvuCq8ECP91Wa6rWIa7KRjDm9Bj18Q2AomGypDT
Zil0abOxf5ojPt6onm0mYX7Lm+ECTqLY9oR8GRqT2MDhKzRUs30lQF5y2GM7+vps+t0qjjRTlxIH
8/a4O1+WQuJwIIj8xHKy4ECz6k33sye8U2qmWFkggPH6BX/3ijU9A8ZgQLH1eNhFbiVzSzB0yNoI
BXYxII6LOUKIIm5cQrzXwNTXr/ibR+Rc12xjBEVeiipH/hyi8e6UhyJKtDnY7J/XKRHanDfyc95Z
WLzjOf/6NR/wGkdBKNgbm0FliZLaHnXWEgPVXMwSq4OPHuY6RUXzyk0tta4dLM/TpsTY0obenrtA
th5wyqE2u0T1st/2YIn2xohhxxtD/xtlChdUAlUfvWvjwGI/3zqSyVtErFjRckHMFyV4dwcqzdnJ
uJN71JudFTMF+JRXbqOkS9czPRng1661eX10tKfwcYiueeHAMVBSpNF2dCMm0AgfZznMiWpkjFcP
4ObMKZcPACyxYOV1BSd9DiQRnoVcJTgMbS2joo+a4U96OTqjuZvn2PySugTedr+YXwiL6306MqWg
TeBBgQDqHlzu/Qwiky1bbV1fa4o5BoJnRt0fUr8NEC0bgk2YnNpN4VwVmM6+Z9nCRME2b/mchkP0
rjSDr2gwF28k5r97fjpgcNARlGJc9SJ5EuJQbssR9XB4/rKYrlL4uYfJn7LPmWWku9fH+neXAn0J
1gA2OseGjoKeXIqmU9tW+liKGuwhRBtqSs8kindRWiafX7/Ww3s7nvW6+ovcN1VG+NzPL4aNc4k2
ZEZyoDyUXnsaxjA+EBnfoxamNnVQWqdWY8aX/WSPF7ZtJB9s7fPpOqXYi9rsHqP6/8g3vCXfgP/k
k1e3ue1v/3X/oKx6cVvd//d/IZMvCwpnj//t5O6//4v6G3/xS72B3O4vYpiQ7gqNHOJI3uOjeoMV
2H8hi2qZGruC3JxPUPBLvQHJVN46H6fq47Hd6r7nL5F8j195+I2HmD4RwUFS/yN11Oe9GH07FtUl
upAav4a+99HqCQM1VxUMtfvUXESOpy9uSuZm5Cht0X3sgarf5GWS9Ts5g71YSzl73o8ppn95ZuF2
2No7YbhVDIE3NBATr6OYaBHNKCzJP3VmZYC261wBRh3s8JQoJC8d1ULYckqUR1HKyQeJt2QQCGwv
ElMY46e016w0+lCJZnvNUWajTjgAZNk7Msla/FrQGo+6NcYwRhjvaow6sJ2cZRojRPnkRV4+Lran
evtHkCrc2ilRoWkb8j+oHi9QaI1ExamHdnAv5KiiclUhVKpBHC4koXPcpfDOXE9WVlc/tS/FfE0p
L+LWECTteB581ZPp0+u39HCm/7MtcEvobbDPgaVAxQbwztELC3J7qhrZJXdWaXrFOSKjyYNwaYuj
dIrXI5pFVZCleJqjRRkOqyJng8L1yBRNgV6snFsozYNn5OzHSqKsucTJghwl5sNY7PZI0yCZ3/lw
qbb+UrT+xbIUFh+rsE4gtSUBGnAxf/2hnmePbmAyyKA1CI49S4dOR0cY+N4pM4qyvjdB8/tXXp0Z
zUdsxZrl8vUL6TD7yeBxIYIXHZ5RAWHwjmPimd5hhDFKfEexkCIvx3NcuObKNlnhkxPk7vtRgnRN
sTzxSszTBSZp6iNS5HX+8/U7eX6U6EdGqQ95AjqvZLQvWmIWZRiAsLl/p2TY+ReemHMwUV1lOIHz
DsH6BcG816/4YpA96p9sJQ7FEZoXx/gk5EGNoKFl8qMcUFqaN+0sDKQzVLjEfxiY6qdj43KB8jDh
adIc51V2VpeFyDz7DiEEmbn3cNSCND1Bn4p5l+BTyxCXsz8M0fZPH5I5REzma8Aem+7Roel0peyi
vJA/JnyXUQXLgc2jeAzDgdF9/VJHObR+SKp2tlY+sZlRmLc/P6Dzht7fqOzqTpaoSgWHLIrrTxQS
2aPWfZDEiXg/RUtsVmcNbGXf3HoqLZabXAZCwIEu2RDxjkWZKfoAmTdwMBZTtV3CfsBEcj4Mo+tW
3RvBkt4dni0AuBYICJEXIk2pxbqf37MFE8qebLP+Uc99x110RlTkP5U1owDWNJWPBBqArQbBsDcG
6+Xs07JbiI6YD/2T420rhmwzic4zvi+eYdnLGnBAhh5CEIq0M9eWg0FqeWCZFAG07jJBGa3tug7t
NiRCbHWdVcuInlgaoi/8PamtPNo5tW/Pp141uzLcvH63rIujcaL7oQWSWCYw80Lr+N16ySi6auia
72mYEX2vcqjIy6X0p45JtcwY5Kp9JIX0LwwnzlhNsnZdDgNEY2c2y6hwk/kHE7DKf/rwCfmGDOYr
LEVlubiePW7ALoQk9RGr5sT/IpMogqGv4DcyU+GGQ1FZ1V2Pz/IGozjFG0mrWG/RhqSbOKPfO5Xh
B/QA++krSAhCiBUmjWTJGzvPiVOhDmQ+AuW222rlxRb9kwmPGDev7v1xwNB9hemjXC5Z/pH3hQo9
U7PDSop7tDQBg2Z2PVhfIH8K6IADwkLLzdI7gbpWXesjnkbliM+mdc4OsoL20vDO7JTaJqRFcEBo
dOZQiFnoGHY0PIzmS6TJbk5rv/ZWcsxtPulbWcxHMj9AeHnvqSntP/RjUHGYzdiosQXLzs1RM8+T
iEtDsYj4+OKM+mpGQt/3womKrP3aovSgDrGr2uy8dPE134+WnOrTtDXm4d0wDRNzaQpjvfNlKrPm
01DJlMPSxJaXf9owxtXuIGAwokeKTpMo4O08PoCX4+41rmpAan6+Mc3YYEA9s2b6YeSnN7ES9o4B
zFDGPv8guD5XCCeIIkcD5vE7WtEa3dbJYi9LUTcPG5QTnZRiMUAlJ5u5NOZwbI6z0/BMyeOoukUx
MnJeKAY+MI59WryDmT8gDQL5VV/RMQKitlnEPsMiZliyaAKiWcx0aSJk6n46RQODeZvHfl59rLVY
E/r0FIqZLgJ5AdaUqqOIWZPYXck7cyaTLwSUZMXIa6NAFzrvDBeV1x8YjSrGsJlUrqVJ2BipeYcl
+J58swSI6qL+jCVLgYDrUuvYLbcmqpqb2Sda5CFylC2m89aJVZ1sGwPuOKoxtmIX2HaLg1kSxsWx
nr9gkVx+wqajddS7SCrSzU0zQzJFgjGnpZjz5vuAs6uz0epD14Sn5z+OQ67vxY0AR/hrmgQswTls
C2YKbmg+tjDADri9vMpCHbfFmN9lF5Kk2vuSDS4/oGM+B9xW7kZ6jFv0/vOfwzRCKVwtYaDnXEkI
6OIlSJcv2CW4DzJFdWitrqHl8/+tFZYs4CDv2RsIHReiDBcJfvVx7uZFbx5pQSCWt06nl7SLG1Kz
gc1t8SY8SdyI3DYyAeo6yAqbUcBOU8j5oCZT5rSuqB/whW0nO+4Pb+ZBz2ony6CxiiJaLJiRYelN
3SY3r6PUyyK10fBvvTMBW0INwjdxlKF4I5xdX6DEZG6Y22W6SZQplksPMQ2mfyg1jmcbVSMFcAKF
sfEvEGhTBT0yPE1axMGBZWTvGyvNYgjS+aDfMG7Ss2nt6FtTVz3JJPRT2JEdRvFyPZVSGuNpgfUH
9xgbknfTYq7XeLc1ZSoepo5zbHKv0E6P3fqikU00hVoH0R3LLRsx2822d5J8hmkmhiaC60fcPqlV
DBwvPcS4FWqn27Bgm/V/LKNnuFgKWO7MM0c5SiUYjHTplKbJWdGkAxyBfsJ4ismT5XpLCfpxRpYW
p1w9L81hkswhnJrbIjltsJDnd3SJhs66WDyHrVK2wNSg1xe8j3o1mYY1tBdy9G223LxuB95SDeOc
swBF2ZHvilpT74IDg8/MNTMUetTO7MXIJ0lhsNJeIcir96XCVNoPqs91RJi6Q8L2JFzAf+Npnxrs
DopRZC1Ydi+ZUKrtwOid8PZbymHhnDDTw1Iu3Hg6GQOXdi3Ud7DNStiVfqoZ5wEHjVioGvQy3FIf
sj20Nqbj5HsZurNB2M3sD3OYGu77CekQrHTZojz3QE8AsuU2bLoGe9/K1iGWiZPL/KMKW7KRxR10
HsKurwdnxEGYYm/RsatG2yTNR8c4GRC66MSKgk6yaUGbx1u0Y+P2Km4nHj5rOPznrZrHgDsO6Mcx
Sk2VBizsfFgIpw9hNjxocz5O6yob9e9mt3GYuEs26cDZbwy93UtoDcsNvH6TMXaCDseMFZFoYrI+
jSRj5bphTHlvNcIZERd2xra7kVHR9Qaccmv2v0EFLbsrs5rKa2DQUc4c6tAEeufXQhU7v1GD+CEw
BTBOu6Qy3POYO3Vg+4kMkRT23GVXIEVQ3rm4vnYfK3yvulvknUpcZyOjxAXIKFHIRiFsxOwD2n2E
BmvrOq5ERXj0QnXRtWk8oYxVmZV15pQcq1u8epW1bnlHqPKj297qIlSt4JCvk6lQOqSnkwNF3w3m
0o5WojPm/itAssG98st+dpN13rrFZKyAWM5xsxIRzx8zT+MEzmbKSVaCuSxHhByirFzMTruLYhuE
JVGMUWtfnI+maYmdioIEvzcCtOU6yXEp4uDz++CdxJ8oXDlub1ugVtjh8AYGiBltjMYOUFKgDUNH
2CuTAz3kftM2JiKlcVSbKCiNMMN3sZisuqfiVUKsTmPHMy4Fxnrup0G2cAb2pghmgaBvAyzgGuqb
05+jX1QbH13EFZabHkG5cuXhmNB9WgJI+422zwg6sQ8nL4EDaEIP9zfRtJTFPs76fMJCEz5Ws4qK
xrEBnHaLbMPvVpWH9V1K01FNULD7ucVQznOGYT0EoglWtiO93kQzo269cDMUpofLQ1wZBTojVmAU
EKV9QVib3qchuJ3IWiOCgIPJxvL6efG3vtNDBL5AC1y0+eWv6Bvlwdi3PqIg1DQS6+lMH6iicrAR
/TTOnhDuRsRjFyviKTMhRpkVrNCPMjZple06hLKY/7XRYYi175xJy7t7sMr14kbhT5+1HOAsh9T1
9Q4HXktHmEh0xdpGGBpcUuoHg3ZyurSJQUjqpa3i6EFLJ+eU6WsvsZf9HEDhiXeD1+joj9K2zhyC
3Fq429mlGRzth7bK/C8efRpuxRJGgJFLYvTUGsTQemyTnpRE9mGB+5ONIptHFDyaxG4IX8+jYC/L
w0wfGgAhYiSynUp65lZhBLI4h8i1YdQfaggg7CmISJk8KHEJFIS151XQTU5oC9mc0SNUNUKTEZ8P
BkjUgT45w3acuNMuSQOuPQRL0CxXyvXQ6V03CIHyZWbexKwl6TUd9y+jXO+ThRuUfMTOrYg7qmMh
LXx9OjSksz32sew2dj90/neYhHWz8+08qM+SJlcci70QOpaqRaBDlhRNOMaob2q/t34OhpyREx5L
3HBL3bahbrBCuQYxiVVkojlenbOHzzpEeij3+LLSp9SvE8zFblrhPGnqioUfgQqqV5aDRS/a4omb
R7Cjs4qko8Q0mMA15FzhDgaJugRoy18jsbQsodUgnIWINKjpt143uKlV7qawkP5AD8PAzAgBL5M4
4KNXIfPwpewsak+Pr5ED07JuSP+G/jps44kndvLa4h0NUgUW5npJocb0EiEYM46+qiLw8HpIhY8z
+AmwDh+7Gc05SfH/E7r41KFllKUndOF1UGH2WDmOcFlmnciHfstkqajXWdM6G02wYxvk/IhSEjvW
0bxq0DH0DqZIpAovUd22m+zMh5DL/cyLq9eB43Qmj6oKgkzwYK5eIi0q1hS86rzlA7FydaBmlaTG
WYuPYQ2ffshae9/aAeorm+TxdE2VSjg0h2YkUF07jiAK9PEbIt7sfT0f4abhrrA2GQFsD5YA3W5N
ldGfJipB1mMsw4Dj0kq5LxuRgUCHhricwVjfWI7Qd/u4PIre473QFmh4qZ1k46vOnAm1jG8KOZMM
2UcrKAAPILqmp2k2ExPkO7dz9dwtazuqz6vRShR+7CWE7OEdX1A5BLVjM/NusTWquFa9dDyCKRTm
mXDKdWgdqYaULwmirLtVcPadaiWLQfRsLvPoOmfuaPUIm8SezTyrELJnZHPhkbGZ1qRfiHQjwksS
T95zP3vLfOqMNvkT/rDoTmIkA//gVqWA54i6HiMfmZiKWEM2YcfT4mteEBj8yojDpca2Zzehukf2
VSetw08JOQtOWAZM1x/os2C8ZGK0ZK4dpCBJR1TaJdI4oIHuDNf+UjqDgY2UxfhjwqeTbnqMOgrr
EJll3QVRpwP5RKD1ch0DcuCt9RUF3WYzhQZ9yKxTHuZ7sJZwsmDU9Y67WC3p3on27hqlzh+YTr7H
5SntxYveKgV7sn8QAcK56bYOJqb+gdY63iZg3oijHpderUodWpUG2gC00NqmxDm+V0rqiVGPun5k
xM6spyQ4r7F+b7rTVLcMCCREnPQipEw08zbQS5xsORHnPn6WBK/zmCf7OK2n4YM/BYs8Qf7FKg+h
tMkpONgMl/jAmXrF1umXRcPXRG6PE9c+b2sdidpYY7HPjI9ZI0xGhAdPWpR42aQI+AcfE6KR3Zmu
p9JZ4GNiUcaLvmn05cY5WbPKsDNY9eFCxuuqMGeikySZzH5IFTWvNLMGfesDrF7kK+ktxn2/Naba
Lc4DQXGEDwL6Xi5nu9AbVs9rxC5qKiDQ1ii7ZDRld3Xq1MWt00w6Q58fd45oAnIXryqr0LPy9arR
b2pGtMQBmtLQCaAfHNUDw6mBkodYwvcp7nWeqVKjBEFouHNbRis5dDzvG5c8rqpRpsLLx3tAvkFe
O66zzqKuQ7PH3dTzR929eZwaZWjoyu7rT/fyUvS5iXE1/5ni+bF6vo0C5KKoTnzP3FjvTw0MGVzQ
UEcy2Ltev9ZDNfBpmRKcNWVqUBHwnzBKPS5TStOS5Yh/7vfJqQYSmQG0BjPR692UZZh2KNlXOIQ1
bBpD7XqSIooqW0jMorfJu6lC6M4GXVld4ZGPO/Ov3keNWJgOkQLEKbIzzFhh+P3pUGlsOoEt+kGk
4/YxN3Pq4qpPxsC77TNr4j44oHRayOFKCvX6SL2Ycw6FYSSxfTpBvxFjIIzKbDrF4hZDJwfzAeQ4
8/HGWgK9RPwY3OVbU+64hYIJtBX4oJu5JpCTYx3urpVOmFC/v0XqTu9R/cRiuxwydvaPCVhelnIc
Ee8TTMz8fF/agdm916Z63mND+v/JxKKzANEQ8pruqrLcMO15XsseaySIxyhxvlGTIHWcU8iHP0IM
kdkB/2yUbVjdPC2kD65Gceyoal4QGAKaz61v+DEGeCmJUqfmWU6mdlCpraPG1y/4HGajH402WAie
A2oRS/x4BuEosrCZzN23DnVDZlDnxHqbY1Ocea9x15YToshZghjXOii8lJPx9Rt4gDI8XYGEWlAq
IXMGAUiHFwxVssS0tARS+Ig1z+ie0ctaii1VjzTK949hi+pSHRqjCq/3719FccMD9+RsK7/HBvdk
fBycKsc4lnqVZ8ys4saNHLIF5HxrjgQo7U0oN6HT4027yqyiZ7cORk8flmoeGuzX0thk4UPvoIee
b/pgoHhkYdGLJpYqKNGhD1xkdn+S0VoOl01TGDq2kvgMs1kYnR1o6dus1cc5RrPENoF09BEvRCe4
reCxQC8J7dk1i8LWQVMe9g8Rnw3BB2OVvELsc4XA/cj4h1DXqUzaalK6yFIXlGVfH/7jZc2+p3VP
PJQtbCDxx1N7ILNIDXOZvzZp6xCzJqLXKVCEWRZb76+S9euX1Kvl2QtnqwXoSo8mBAsQHDOtaZTN
fSvD8WuU+LrGOADgK86BwdiFcWFKkztYuWU0kERNVqyDQqNEju2tRtHxkzsOjBB2Tm10z5o7hrTV
oOFH3mX6tWgof77Lqq6vPtnFaHdntuzfwC0en2lo+3uBQwHUh4OiZfef7yCwmJMsFVJ+Uy3cuRsv
D/S0yHOhI6vXh9c+WtJ8u4ZohaaPMDtJqXkUHSTjZJZlrexPtewReENyHPmjXUIZlUw3y0dOBwSY
l4p/Ago2zMsJtZobkjWvC1eCsi4lGFIe3b8XI+q+1BHgTxBhQ4KCChWwCfxImzzVZa3J0GUAHLga
FqEKfV0mxq6aTyvDcng4o/A4i5LE0J0iS1V6vyYhKKb2xDDYR8td3aBh+YZ51NF4MwbA0GEzg2aC
GfCiY+p5SR9V/jB9Gqpcn8zwAfSSg+hA5vz6eDtH81m/UzYv+IRwM7VrytGePTaCmqrlxteh2zxc
a/AonQL816H+wFbPFvTYey8B6TAK9VTrKumvnzqFLKL2mTUZXM8NdD2TXFCw09mVhPlyYhT5YCxn
kqWKfWGGpMq4n52BhGmLyyfpcbawqandr8Yf3SLdRDIQKmHtLKG58DvVVPqFL17OVRCEJBwOHhNy
ZVEB7TfYy+o3mVsPEqeBYuNvNn2X6cLyrxYaK5K5m9Pz4NyLY6ocqBpa1UgJ5PUhDZ+/Pu0WQScf
AQETIQZIX+bRFG55AhWaIv5RKif4kne1Z+9s2qMHvwiFS40fp6TEnaLTOczKeCNcHCYruyhvFJLp
SH1CtqJpmmBdjGe7XPlp335CgsiRl+UkVbrGadA+ZFH+oaLV9kMJVwpIdkaK21+Q+O+BwTWnqZnJ
c06kdCFbT5EWNWTufF7oI6t3MbKDHrbMwPk3VA2LG2MxUFXsS7zb1zLqLl1OpWKH769zHsyd2vRi
brf0xMublB4+lpc2XYJc9JTzmmKkhddb5TdQE94p1CL0loelNS08wrrg2uZ8vhVpY3lIsfgpJYxE
yr2d1/X1GDjDTeY4KTgo00CD1KBu97UYInmHP0N3hZixJCyKB8D3Q76jTTBr5y2ay+sJvWVjhfCV
elfWzRYteoDLYZrnn4fQ96max2huImLXXC/5QEnMBeNItc9w17BhPrj9bH63515+s4LF/ZQO3rBO
J7/CSFFmW9yIszcg5s83ayYEbWU2M4glNiSC4BhO01D+CVovqe94X9NlZMd1sfXLRtvTdqb/6Y3p
9+yAerwY2hwAssBWvySbxotLaIcT6J1vBhUYocm8tmrqqyv4uOfKdQbyv6SpPtAixFj+9Wu/mPkP
jwlWh5YNm/hxPjJojfXC7aq7tq5JXEFYFtOuciyAb69f6OGb/jmGH57SRSSHuC+yOJCPk8jJrgpb
gZW5s8aGNePYHBcrPEqsbIPwQPCxRjz+YyZjyMMmKq5i4yiRlXuV4fowlT2wL8B6/vvO76J3tdEG
nzhvJXESMsg3VUXwYvc1MF67t9wPpsrrn9XghGc15dkPyp7tz1FOnrqyGssU66RI3jsV6gwrAzVB
qjcFvThrjCisddF8lzdJTyth6HZWAu3XnHpnvfD+3oiFjkB4DIkOAwiDGBeHM/o4JLDw1ZvccF7u
4CEy+GnmpHunQRMGHcXb2orKr44RTZsBh4By1XaGf3BryEGb19+Mp3e3Z28GSSGd1QEGBDiG/N3z
YMEq4or2AXqjaEpiC1/WHUK2cHoiNFwx9tsot5oOQYUFwyozREW3p6kOaKJG50r4eBOivG28X6zE
PTgL/lUehlPfqox6OpJUxjm6KcHZjCtn7VTONTXQ8n1jaO1qn8YYGm79RNsFkH0MvTwKPhI2qmY3
4mQ++3l24QQi2xdUig9Z0oj3ldeX/aaJ5fB9Rkf4E9yB4oNRhxwQ/mRpset+HJCjzJJrrb6Rr9PW
5AHSyYpWqkfflv51m9MI4Uy8cj0jPMtSZM8tqtr47xaIEr8x7fXYHY8txs6EvT7Z7As60kBJmPce
xHdt5noXWmT0RmTOPG+KVstojeQSb1zxCL/PrApIs0DdgkdCrQ642tHrNO2yqzg673ORu+8omxnV
Kh5m45RCZb6jEdGz03tJdyccs7zJEBQ7w/bA/GCoyNm9PrUeCAzPH59Qk+0TshnG1taxPkY3Vh4+
qXV9nyArUJK3N/G3plvQom2r2Vu1pl1Q4agg8a96j1rhJk99zHKBw26ok0TRmoYnqvJd42Pp3pda
L2GmhF4bMj0vfDylWgf5eX9Ik5PEQ7Vx1UDvGBFZsbAQTIRZQRvQ2gohzBqxNxiWXV70xjl+b1gC
UMowznyZzpfzNHKc5V4mdqiu9S3cnqw4q2jzElE6FarNaBrVQEpGTHEUTc8bOLzzllhEXvVIzaCG
WzodVG/gMsxE2kVrn6rfJZLpyLwGIOomOpr0lXC7L3EzB/twPopIylWTCR9cbWg31gnglBHOr5/Y
n/uuyb4M9dhj0WFnlHoQinyr8PVy/2GmPNrCwnAKXtT1HJtOKDLJxb0m1QZ4I0MEBeUx0zXklZFT
BXeLHOITvza+zxjl1qBHlaj+jQmLWRZhswNyVXM9nk9YkFISbnRQ3iOnNw+bhxeCDGhanmWlj8rD
oqLrFsOy3eyn8VZE8fQ1DTslmCeLdf36jD0q0D2sHuQyqS2zdYC1PEbsLtUwqgZ5ufskMP2r1rfk
R7s0jE1AYReZ52q4GMoWuQu3rk7KybHOeyT4KbGX/XSZBWkIILke1VlmDM5PkPMtpgMoS1+9cZfP
cwB9l3BFHY8lrnV0XqTRqornKmrd4Z6qd5t8IrLw5JpK4rwapKkubGRi6CnJxcd5tfOanykWMNjJ
xrYY907QyBsvKpMzEx/YT3bnDnRIOAV2cDRLhjvJg7Xb0u59fNH/4VlczwK6xO0dnJVNJklSfvRP
WROc8I795AW/IFpc3I//Or+fsh/Nb/7s/9gWJuaWsCxIjSnZUUrgpPnllUnagu8l5WQoUshpoD3y
N93CCfgj6BT6bGfS4Pv3N93CgW4BO58M0ooCrdcW/gndwuOLnhx0nqmpxISRSCF6FoZAx+Fdi4g5
4rl1ftbZaATeoteoRcHdoMevPY2MOlo5I1nMfMicRlbGSWOnwusw7cLevaFDsvdpFd91TjJUa8MU
Hr5gs1pOp9oP7tuuDDYgKf1uadGNSnyME/DwG2f3ioNgCbHkUINtC9IQnJrKFVkUdaBtoX0Movcm
eBhiwGbQ6ADhgw6er5y6o3Tmj6o3v5bOqPFci2vYA2r3jYnzbxYa2FGFAQYBCgVrPLuorRfoeGMe
3orwKrWDpRmBfNBPsLdW5fZLx8IXFVYvBNnWNqSEWpqfszYAF7AHVBOibS1NtDNPM46WYbuY7Y/U
wDYiaMV86dllHax1D4s/RUBn+QbPKcgeqxT/WYBvLEAr0o7of1umvlh//9NlnGjPmU4Pf/L32mOB
IVvmUCYgWnc955+1Z7l/kTs9kCXh0yPc83zt8VcAvqh28hvu4RfV6WHtQW/l6zRq3fqjpUeWeLz2
CMZZxagcmBa3d5zEVW0g5VT445mVCQBx1MdGQBjgrjwfmx0UffXkyx+nYmHDkDQ/9w+ztHiYsfbj
9NW9MXtbcggIZnbwONEzAGHS79dDXtO5XItxcusd6hF1hWt9NB9yKKj0JymY2JU66QYqp0qulh71
GXGOykBeb5TKqIlEOI6ceXE+vSOiU+ZJrn2rZjeOr8F0CzI6/4shG4XHlsLIx5yiTeTl4izXAJSK
coK18rzCvk7Rt0XNNx1GUF7VWACM7FS0Han2jZuyWxIgZXhEf1wK5d2awiZoogChzjMz1Y5gqU4P
qIBlwE8Qii739aTKPWCiMtx4UZOd+FXSBhcRPXhgzrOJBqhh4L3h49C177sCRwRDAxDSCgFDQVlm
ly9dQE8dPN3AdpfH07pSsXpve3H9FeQlgCcfDNue0kG/SaUkkkzEbE9rcKILLYIKQKvXqi995843
8YIgGdidVkwn9Fyx0Io7jwd1Y3Owv4C2aM9Gzyr30va7rWsVausnorXA1XRnI6QNsSHgG7fIjqdC
m2d5Jz6Aypson6czEqNI7unstP0ulfilrRRTfWPQWzM/tH6xhWJZV3unL2OCbm+iR5H3AY4yeW4g
WFOpAHCK2zUbc8BIibyvOrRNnG6gvg3hzh7HcTv2ebOuEluBhbd7k4FGvtBb647nzyDOzNvFs5Jd
4bEad0WcdVuzdufbCnNkexd1lbfH2EhcWXWXngJKK7+Aq/dXsUnBcC3ARR9KlSbmxu6C91U1d6TF
RIPs13hrCFo6TBprstSWJK/dzVroCbgJnnteK/ZtjAvP0LrJu5ToEVsfpyqADDqeWHnpUN6ZuYEB
TJzbJ30VYDzjBfE3VkNHaQ9A1HeII1aG6xOGvPukb+3ruMyGk7Grgp1dUtNYRXUsr0JX/TCB527U
TK8mBsaIW105ZycE+5hLzQko83XiYxlS+dTkCgSAvoa+Y++B66M55BHMWhtP2clK2rClNjJur/Hr
6S5aSqrf8dSLN0ObzDcDFdlDvMQsQcMwo3wljAWkrTDk+xlnqIvWy/MRhfI8zzi9snjt4fYJBidu
PvlJ2wPNjOqTOsqSz31bVhPF9Lj8WLjCXgOtFXuFAWjfhMzDAKX6lecW5geQcsN6Bo8Y7ZraJcEK
PVB1p0LgnDR4vXjfVXG0k75Z3tdWMZ+0kWzWU9oiiTjN0aqO+x85gOeNgyvD2gszcOYlyV3j2rfA
Jj57Zeet6yKh1hEpO+iKDYIxvMdxJVrMXPzLUWLJwWULzx/+T4n3P6fiW6ciBc5Xw9Jd2XTZ3fNj
8fFvfp2LofkXXwG1EaoYOC3UPP8+F8PgL6aur4t9uqzuPDFw5/ADRRvRC+XLTCqC/8SktvsXCjik
RQ9lKASWvD+JSZ8nSRCcsOigUY02MP7tAAt52Kekdt2YWkLRDAfbhnK7LouoqtaunUZn7uBgqhh4
KDWBRiOqj6j/b56EEJePRY6nFNvnJWStR0zdR5tmoItC7/EYTtBiyBapZcLEdbDVNpgrf2thF7qZ
AxQN/o1LgZXAMACnDpqLzx8UJyVlWZTG9pAt8ECzrXHlyFRsCT7af+OpGErEQADNAITR9a4nQgGL
NRVidt1+j3l2tp8AVW46nAnX/RQMb3RljqKahwEkxSXwAi7jEEY9v9Sk+gE7LwYQf02qd7P9oe4G
/ycos00CpwKPYMfA1TEu1sJ0mz+qiz++Pcr/GBUwi61Ip1RPn7OfUugSou/3KPX6KwsZF816aN8Q
9no5R2ATkcNDWvQp1h1XXiVMIInC27DvIpcqkPtQE/emNlDbXCAj+MZDPe/U6odCAZy1RUKKxskL
U3viDNtJrX7Y46UCAaPo7gPH/hnSW1hZZXUK9UWsXp+ZR1nhwxWJV22AXBbd4WOBE/jPOTDlZtjn
oGthwkQAmcyo2b5+Ff0y/qkyPj4XfRpo1hDViM71MD+ZlJgX4wnYFsPegaizcgzjLNGHISqG68ms
/lAM5/GZnlztaGqQmictIP9hj/aORacX93VV9SuRFwJqWgQgsii+/y97Z7Zcp5Jt7Vf5X4AK+oSI
E/8FrF59b/mGkC2Lvk0ggac/H9r71NmWHVbU/blxlHdZWixIsplzjG/8+Qt+BEu/fyZqFU7/4BYY
kB+msjnJXU8pXjuA5/YVh+viEYEolTkCug9DHedsDW4FG4+wLWz56tKIPzWOdRjirt6P2Eq2AyyN
oFOi+T5NCMtnaMYB4cDt3QJJHw8z4Zk5sdd/vm7jN89/FTFhyF31FL+MOE/GLk42XqNUDYDjbBw1
IpgmZ9xqmqWzuzTYvGEZ3Fjcva1ZTPZXfRHT9WB4zSVHZwtPFMHJHE3iT96FjwWL9Zai9UP0xRsO
cOAjKCzzCzdfnKLfr3pVM0LPCDZmwn7igm9uY/kwpRYHfOX6xYYufnUCKN7RFC9pzZbISIE5VQFg
vCyA2asHltFEmwjRYoCMdD6LB7OjDLdoRzCLWH7Hvt8gnMME03f+46BS7bEfvQhfHhHIna2JHa1I
ulnId7Zsg0993mGS0Ioh7COH1O0CHpCdPwzKk5e5PdMIR7W066wh3Sitv6p9QfxzyklktgvSRIEk
nevJrD9pXTvusyrXwsiZ3/LZuu29Pg8wuOQHkjj6K35ztfvzU/91mvF4J9ea4wok+EW7OcnYGRy1
PnSZXGo57cvU049GOt2TWdZsh6E0PplmfvuJaBUIjgLP+EvRlhyu0fOXvN93UXQ0JHmXRvzdr8hD
tCo7zH33y5+/4a/z9tr+wipK8dVn6/NBL4CleUT2NfR7fCW0HEdbHeNaWWjJuvmTBffXNwj0GIwo
dEOI1uhp/jy3xYND4R3f+t73Rues1lrjWKvhM2ztbz8FZgrbFGSA3MOfP6XE+Vv2pMbtNfrbXdAK
Xztw2PCu/3zfPvSm1pmab+MZ6G1xn606x58/h2zVxXDpe+ynyag3tSGznTuVJOhJvEw2h1W2FAx8
xIrxqfOeOjPeQ8pPP5uWqNd8WDA8GPSU0Km+oEL7pVhJksoC3VLu7akQW7DDxS5SWb+zVU+6iGUv
9tGoJn/b6fWPolbiFu6l2tMLHi9I67NOTl5/1h83f3tNlGiBd4BfQIT6862JbeT9UWLJfRUP1ZGO
59bXB0W6RN9eRpI4wEQMzTM5ghp5stp8NTTpvDaZzA0BlPVGVMWPwpjGy9yDHLeor0OmmWGb9s3d
XA1p0PSpc6DLq07VXFxqev/Z5uL3XwBxG+Vmutm6tQJ5/rEKRwZuodlT3NRkvo070eyQy8cPCbNY
2LQi20TS0MMSJx0rVleeUA29eKm4l53rH4cmIsKHWs4WPrp/U+NbQt+0/CBRuzpZXuLvVBPPG5XD
Z7eyvth1aftZXNqHfthfo5MDy7+/wYfRSTwgF1zPcj9rGeGNi1+demeiL6hhJk47JvnBnVHR6Uer
nsdQNgB1//yCWL8dBXTh0T6tJfuPr7uHeQYz3CDXJNq+CYbCc76xrboWNlRA9D+vdTFOT3C1k++4
GvphxPNIKX2TWwndyVjuTF1iuwYJGajUIExYmAOmLD5wP1EXCEEOGD/mChh1F4k7YeVbBz8YgaX+
E4f57mCMjn6uUWQCPFi/iFG/c2c+KLbfi3++dD5Zhn/dunkup0EbTpPj4lb9cMshnYg8ypgQCDR8
qqK9GLNioy1EfNbYkT/ZJ/5m2qalx8Hwnd5Cj+/nESqL3K0II5f7Jq7eyIyMWLXHLLCn5TNay/qb
ft6R8rWoB6MHtNfe6YeXuY3ioRGRw0jq4vscJs4TPlma3DA94PnPeUGTwtW8E47Iz/r/v1kL6QTh
RQevxtn8Yze1hyRlRpkOplrMz1HvXU+ivdXt6K0Q/TeOvO4nC9T73vOX74p8CfsEB27345zuj7Aq
U2AHe47h1e1gse+ZI2szVwkwrHH5oUck+qbFtInnhs0N3vhwlHG30dmt/Pnt+e1gctb4CBPdg/5x
WU6HfnSSkfdXeTXp141wAzsB2qWldYzb8zPS0W8WTZdaKo/Z4Oz9i7DYBccTl9gD9/PcASJtjChc
Bi/55Iz42/uLY8RmJHF7UfP+PGozaRAUZQOp5YxMejskkc1YZUgjIk87KgTfJNTaA1q8ttiqKKbS
PxrFdhq1s4Vkhk/e1w9soPc5kpkJJRq4JUC6H582waaRacHg22OATr4BN9OcQHVxfyVhj5aBcmtw
8PXALwi02UdaOLpt4Wz0rMnNgE5FAjodysjFmIDyRK3VD0boxI58/fNQ+M2rvmr8V6k5w+6XF7Cp
mqVvPLvdO2ba3cCkdnf1LKIznL4UvP7dKvpNnefXMgWycs7JlCkQy/7iJ1Dz4CyJBAtv0UzcJrGI
d7JbLuYRO1iMnSdsZAl0UvRmUOeD/p9PaUT2uFAycZcbaGx+HhyJ5qGyRlu+h/3V7QZIl1tbwiTg
1JD+5x+FpgjFiA5ny0N6/PNHpZkhm7YT7b5fovLNBihys1RJSSKzq3/2+H4zifH4KIuwRUTPtLat
/7mXMEG3wbnl8aUW+cpRXzV3NGbMLasbXIaptAO0z/Mn08dvxwznayIqXQNF94d7ieWy6kGLtPvZ
hMFaOgSIp1lpbjodLeYng2ZtGX5cIVYjAKmsvqAF/3HH7eU2qWy4Kvc0VfR2B12p7+hr2WoBPBBV
aKU6aW5QJvbgWqxRaTtOjsO0XSZhlTel5zCUUosa4zEiluTRJJAdnVSVe7jQi8JNgz5qk5eafsRF
Ti6n3GF7ibNAVgaKs4qvZIXCJVWbirujjJ2ydAvmFIbRPWn2YsGP3UEfj/PEuHcHczE2hT2his6M
cnK3lt8k5hdfGSnMpYzSTBw0nGCSsynB0LPp0rxLHmRRG6QToGN0CICmR76lr2+cymWatL0c8lFe
gnAfvAu7H+boxpVGUe34u6Z2pepkPiEX9vNqA+Xdji88UTliMzjoIzHnt8XdqPludOoqjayNDl16
MMed2RE8kz6WEqJ7MA0AqY4ixiMaekNd5zuswHO8LQml686zkeNkiqu8UTTUpPLzzTQ687SpR5ix
ZwCYI526Q9mYm6Z01s1VSv/1RUDBnQN8N1O4oL/v7hon1QTtPUnotIrEeFeldtdj1m0RM+p16cXb
gW7UgLgrmXatN/npzq5iJM92Ey9LSG4UAZ4dS9S2iFZJLJHTPtQm6XgPWdJilijK2gqlnYwGCu7G
OZTecEOddzeMTvMUNWbxpdA8/bavXBVEtEoP2pyRUdf6VwNSrqqVuykR1W0E3HC0kxhZRJXuTTtX
m9zPy108jCcLLEmIfuIly107cAaTVlM2WQiBrVdSG9R2rGbJNXRi70qlb307dfe2v8CfUCDSwXvE
Z9Jupm+ipw1rD3OGDXF8WVrEfKO19hKnOSDN5pFMq62rue2145fd1tCr9Dq31BIOemqceWWRXFiK
58FpgQj4NHqcFsvZw1W7SbGzBMk8RaQO2TnikHxgUyFFWLBGbSTRoDd5MR3b3sa+BjWMP/KrnOoS
wr7ulE+TuVl0ckYnHL9BlkQjOQd5eaag3QLN8q4jz74ttWRCBewlO0AuSzhrRIdHSIf32Cr12ygu
mq+gcfTzKhHeBk8RumS9795cra1CaC7NxqNgvRd17RyxFdMUrqLpaOmpeZSz8LYUKU6mMe1SpzHo
gs5fSn1o4ZNFB+HYd+kwf3GmqMJT6VOoG6IvpavFoEPz0juOg6h2o9ZGG5xm97nvRScJwmfjxrW3
1TNb4zmQNAMSYdkknBtu004br8kG9W7lMLEqW/K8nyMRFGvew6xVP2SrmgMujvSA+K48VKU3vtmS
XPY5VQsVrnxM+2XG+99WC9no7DS7GJJK6vfwGDw8CiaD56mEUjFtRMs5gqWcSSKLB/XccO8vW6St
lEciVAi5cdRxtm21ugcdYSzeGf+j3k68EFuM9c4sz71ZxUo+z0knZBvMZmSrfLNIs3vG1bPTs9iL
A83kmvdCM+vv+Lvz5mDlhTlsSq8TYzDXhvDONc1Fop+D+UGwOY+OdqI8q0uKtG166DruVICbv8Ck
Uo73kESnaxPXyn1EkkR6VBlddcdPW2S5prcDUKIW2CIU4xKQT99cPWI/SX232YpFL84alr7vcIpi
d1vAdwoz5aTW+TRJ944Es+jNp7g/hKzNJYdviFz4CL3pgT5T+dY1nYuWspTG12oS3YYjmnPlV2bz
nPoEgcpEzvue/dK9N9vZ8yj5PbNWTNu6N9vTUnOeTjGMH03bkk9U4WiDZMigdv04MBISy2+/JOSW
f28bO9+Bw2m/iNZMDxmSp+KIAz7fpbMun2Dc0qEWtVIbN3JKEGSL5OUoTM0Jc90mfNB1ydZlu3cE
a5JvBCXkLadSv9vlnJtIamrqNQo7jcdHeEfxsvWc1PACMngjcqR1u/XDktbgsYHQtY5BTZ1iSENQ
hxKS/0Q3mDvJ7dQeKwLahlDA+UrOYLBwqW4+Po7mNKiLOIriq9RrMa7A8bqoe887txOb32qhDLf1
1L0be9NZArZ34ItIKLvKlGy+UroztxTOHGLBeVW3RA4vuwXrExk6E6nMqOXiK8D2owgbJ3GueIla
XiqeLkX49pRDhb3CrdB864BW3thLZ9zLlPudYr3cI3Of917CTdXQbZxpDM0b1GzNN2c9YcJKXJoR
hXeGh5R92MGZSn6tNkzXRme3pwbI4/kyyuZbPzfdF9Tp5nYRov2O7aRbkcAJt7WtyugUU43YD34v
X30lnSsblgmgxdqPr6YUrTK7bZQQrwsWKW9iBVYAYZDZkbBxTi6v2WwQ9JJQkHhtG8RVghbHGwaw
ZoCJjPvGmJ2r1Kmjh8ZNYmAOA/HwSOs2/ZAsSWBqRJ8FuKLkqzNY5jbuvfY0E8u0ibVhPOtKvjxy
qenB0zLmxThKD1bDTze6Fl8NfuuCTvQc9v8VkH+if9ri2GE0iILep4izQZ0SnZKy5x9Eo+8FcawQ
9mdLUw/BwntOGauS5OJStPbEKF/RdjthFM3F0ej6dZQPCAPouZjOXYpb6tGu+0GEGG7bU+Ho+a3X
d82LhZr8TgMVUgRgK5Kr2S0r1DJ21X0hmGu69lw5POrNlN+m6+M2u8g7dzIjum3tkQ/KtXkHtFg3
MSLVyZUtuWtehlpcj7X5TV9ICNYmm7AWivbRrVlm9rHVk+rctRS/sV7yWzbS0wPCSfm6qNHWTktH
SXyLon1+Ew1lvpAkJjhV1FskUGU4aFXoarWomMmXUgtTzY1uMaMzuptBtvOxHEccecnASFq0tmPq
dW1GGnNWclXkWW2EJaGG1+T7UsQdAS5RSpVeMh5dq/aq0Jf9Ww1CwaF3gQesLVX7ptWZ8WjHjdqM
Sho/3DEDA8Wr194wWyxvtZk1Xeia1ZyHXeYMP0xvIKQiGgVjv2m4LS4rudzrKjfIG2LLe7+gl771
e53ZTLjjj6nx2htQUhT+W7O57Me5eZ6yqL0xei++itw23fcQbRHWetaRecyHdIJC+1gh+XlqoV7o
N53mSeb4OsdpDy6Rm4fk7oIzcbRrQGoziSFvp27aWwMNYcv7ukivv4zKJt6PxRpkC+3n2LJsnlud
naNpEXF6jXtopSbZ8qFrxijAlPDWYzHZNbJpmk00NtY3BxD2zm6KJWzsGQaoNVVIoSx3b3C/Ajqa
MIRQA8P7sMr5FiTQdM0mBJ4mOrBHs4jtsNDqu963L0b0T/Qi9ZSzTNdt1OBnly31H31IxlNWNh0f
m7tXuiqNy0SUzBvWQnsd6eoFeLzmCttPdOdGZn30pxS5K6kICxhTmo2t4ehEPPWncZ4LcFfDeKHH
qjuvYlGd4qSaA7b6bAFXWwQl1BcfLc8Rdtt0m9ej9Qp38dSmusGU5vGHJdtt5RqgF3v7bJoy+4n9
th7M+lR/89XaZ6qRj1FZPrZRLeiWIeI9jLjknzx4Jrd6laidmMgaq4t24ystha9Hzp+nlhfqf+Vz
XkKkYs3hJpmaHTPRc8IJxTzbCSnuuTzmmm4FY6TpV3lJKpEcBhpfxtAgqlLq2gYhuLeyTN4NreYy
1fnx7SD5kMGJxPWg+7iPOMcEnPTtFx+f96MreyLZUvE4ZXq5p1yasA9kKxeU6VxjvlDJRQruE7+H
eYysxfiW6JHajZ4G/sw0lg1MPmujRl5GCewmUDmlwnie3TM2F/ZTZjv7ypnqHa8TE3CdcTqN3dbf
+8ib3kaYaE9TA5zGL4Fzb+LSvm+SKQPQ6ds7GKVkWESyeDQcIW7mkafkjHJqd4J9YdD1Xbwl+675
sdBqMgFe9ellmzEMQFDHaQAypmFaa+YksMsMDmWTdSENBNLuexPcjcuG3o6zF7R/+Skmv6rP2yIL
HFs7r+dsulkImOpTrdzxKu5Sa8lWuajDhkwMl6XtRA8gcthm2COgP6EjMiN89tbTu2WTl5Z3JmeS
7yK8uokDNj63OucKkFtdE2LiGzQtiuU4z/V44TrEtrNH03JeOLc6NfGUXRWZldRBmy1EuXSAIDJ4
QBmvET208QJYcPZlhaLsQapXLDkTuLh2aSg0DKmGGTOy2vOZYjanOjFijRm6jJwKJOS3wOVPXSam
QzQCHPZkvnJ76jNZKcGsXxc0R1UfADDqz6n7Au+T2cGYNP+LT8+Uc85LB1I2LBNnCVsUjiGQs8QL
xrE3vkyz3aFZF9+Mxf0Ba7f9yo61+FrIsmbSktqDKBzS7cYh3oJxKG9mlx1LMXcGTW+/XwAYAjRm
OzQd4GqP6UmzamVvRqFLcRCgNlljbLe+0hTWxKCaRX1FUaUG4O5lSFqHomASwpKbfS3LrLoxW6+8
cVPqyOArmUDxnPevhTT1b5XMktc2IvIgNDV+YYsK4OTAFrybbdNTXzp2PDy3lEMO4VsFq4TmWsei
8VhR/Kl5ZrWkcrcUBlr4mILksY5S8579MSfTvEzsU5xP8rXM6/5VDpIigpyH8i23Vx+bXProKzRX
41sOyAaQjj1P17Kdoq9mjhQ0tKOUFI8GlPOr5jS40kycPWK75E51V4B45iFBWa53Iu6xANq+oqIx
TAnDI4HHiYGqKuq7xB1yhz0mRjI8vPyM30xFB6HPz52NXYEfDUjP6fPNKLnKbeYgl4IzbfKtbHPi
Q7PUruRZujg950a9Go0kVI1K4x2bV37zooE7OtqK4ucmsf1Z22vzugXo6ZBGAYcp/zxLdMxibley
aYVpyFPSFpa6sJiG6OvYjdhKYyATUxDFTvlmDgOfOrTWbGwUxtivf91MZ9RinIq0J9NwwRhQhsJY
AGJynqj3lu/AqmqhDxIPtRYFkOpWdw76sWpfpLjPVmVBygEzn5AhG1SBrszWmWDxOQuW7q6v7xyF
ooJHSL81VFHL9wNMRz2E9Lc8O5OoGMZ9ucLrL/yxH99Gl8psMJggvS5czUju83k099VQVU8IdMVN
Lvw2ChF86vcKsMRMEo1tRFf2wJc+mKPONbIr56rTKuLhufNUafT/agf+rZ7y7lL7x95HXYa7OGrQ
PpgkTPmacnpJAy7WP59Rjv9IM5kVe3/oWhoYfplme+jFyKULwjfY7/I4l0NF/e+kICjqAeOQHZ2T
2ORR6wRV1NuO3krG5JI6uH3RqsLRK+CkIsvGi4kYHKt+GZoLiMyrZLT0sF23kNhGTHysaAMfjAwR
fFvU+omeNGhqXMQ3ZexN52iZ0sdlSdSDMon5eK8H/p8G9RMNqoNA9B+V01+cGeFLkb7VxKj+pEL9
66f+x5yBA4PUYjrO7+wmGvv/FqEa6EkxYFBUslGoYjunJf13Do1t/kunIrASiFZ9Oaq4/zVnmP/C
9w9kl/ixd+uG8Z+IUD9KHnTqyEhgQXUISqjAb9aq8z/a4miY6qZlx35ZKcvfjmodx7WV4eTPhRpv
XM2ZT9k0Ahggr7V/7mt7fEBWNLWB9Kv26R937zfNCuNDYX29Gig01NTpj6FPdT806fGPr6fsAYtg
WxmXMbVAJjVRuyAGxr6mQqjs4VkgJk+DrvQwwrZZx4oULVLYoeeL6tXvezZneOeHjVkUxgMVKXaO
s+tEPwhboL715yt+12H9o734fsVYu9ZeqkPL9mNTz15Nla4/95cWJnWUIry5DyNmdjDfYq45ysyT
wXlSkCS1rCbNYM51a1+OHfNth3DmNZmkNDhLNcz3hE6OQV8mAAhE5+TssODKXEOwOJXST+RG6Lr/
KJP2DHcZmyHmGPdiTRMr93/+Vr8+BqBEOl5kTiaEVXwUn4lZi5XWFPKy6iP/sY7prQZwPhkaTcXh
DtKpf9dERvHlzx/7ocNB44YmkSfW+HR9/WO9rH+MRUefYhqJcXVZeYtxaeTJcFnR3acTnjz++ZM+
NMDfP4moaATJdMfocHwYZ5yr5qXFnHHpIc59aRWVoj3N6NkM8ibZ6u3AfsbSZ6zZGYzo8rNB8zPS
gGYsCqNV7Yr823WZHT58PDKbNImrMr0Ube68lNngvOSo3Yu9s5Ry63ZYemadR79XRavMoM1r8aMv
fHlU/myfT65FdIcFlSBf94Dlg9U1prVJvHn+0WgUenVtKUWIYciGTGrhVf6kPfSxy7pePw5fEwSp
/x4NuDYd//GgdHdwKseJtAtjiMoXIPgyDgwt7ys7AB5QxScFMPtb7PnN+bS0CcBue0pD2lbirRfL
UoczjciQ/sf4I+0s8UqrIBGf4CvgPP3cw9LR+eDbJuRnRXqswKmfr9LtvFTvkt66wFXURL63oX22
oKdcfSIUI3FTTq1+M+L0H8jRSETYGRXmJXjVxWo3yYu2vG0KkLvYp1X8pDI207hs0NJi2nlg9wNN
CjADVejVy5L2Fr6WKJPVpVrNLu1qe4ljAwcMtap1VR+T8uDgHLo1s/iaNGhrCopBtJe0wu77d0+N
u9prjJQG3wbb80IvUXnZOTBL7xmPlX1KVnvO8u7UUXpilyEzVXrU3r08arX1GAqDz5JN34Ew9XeD
ruH+UWUvdpFsh6MdmeZ9mxgK/LbQ8AyRiRB9w9CLkyitWu3rsNqLmkaaR9IrmqOB8uw1haLBe79a
kgjawZ00rkalbrUszat5CXyIf9WqciJuoWt3xrvLqUBfF4ejos5LtQYjVIkQYDM0/lUSabikDOK9
Diw1pmL/hY3Kgzn+ZSr15MwEmXvnWD12K5+DPK6dEh2WW3dbqU9kCoy5F++0adJfIHyrN/nu4Vre
/VzVu7drWm1etGnUdn73fnWrDaygBHKoaE8FLEC4xPCH4RhjM4d7TEScv2AN0QeyV3sZQDycZh2e
s5hWkX6jViNa+u5JyxhJ/c7qV6/aZInpHI0up8SbQbUAfWlOENvQvaLpMM3lWSptEiUn3o6pvP5u
EgLQW5wS+2Fo9Ms+78t8OlEbI+DYJ+jiWHakvAeZySlCFxrFptliBz/wDGgetoRW8bhKOqIwrlgP
+yJX7dbNVayHHcyM6AqWiCvqQz4LlWwIqfF74BG9xYhSEaoiFVIZ03aulmTR1cir48KD9Ro6F4aV
y3JXFWnnw5Fg8YqQZ6Qux3X0pU5AvxGVKgQUDgGJP6hopwpRlFtJoEi+c6q4XEIPqfISViRxrwdU
SN/BKOdYXkuO8MCz49R7o/QjUn2j1ybKW9sbvEsH11R0qizRw6QOKwixy3yQSFq6ZNsAfCm3kRwX
Irs7WaW7uXDL+aBLWTahQ5pAGorJmYs9SrsUcjky2CfoLzR5LMvNMcnlpa5xlNc1yS3nnJCVpV8e
rc7vi22e9O7tMvSWtcNaZxpniUokdU2RYMHcR93YVHcsxtYpixczByDKFdDeKNYmgoEca8VIN+qi
9GaGtsar0m0iA6xzZzlOsYkjbOIoHkceZyrkemKmBr78gKvquxuPCyg31kx6wdHAdXaIU5G7oZkD
xN6kdUoTbYg46Wmqa/zrDOGnHaLCzpaghDemnelRYe9Qc8cOl+uLZmugVKyPtLAVzVPfTrCl8e8C
gwJTxfCJrbXLiLI1gBiqAbakQqkF4O0989Kg10rHzaP4a93DoDeHS+Sv1BIrv+0vnAG3+j6WBGCu
blaUubuIgLvqmSCFKjnRnimmnVTOkp4ZJNbc25xVXmgScoTyDAbvDoqwsLZkquFnLQdAxRuipHOy
2lUEaJjwoEIpdhZZnI130nHVt6ZLrMMoFL08L0ety3ko4vc4RU1WQNWNcJSnxrJvJDSWe6PX+BcK
Y74HL2wW05baRUYjbTJNdaxETMAhzW//sdLbdXBmGYc2UdC+uqZc0nuh3q4G3URVXFgtmXTPWMH8
R8vTGd0ls2S38Qyf4zYZCpF5nXVDnt+aHu2g42RnarjoaVax+aTve43u1aUDpko+uq6XZQwgSvUL
x0Oxfvn10hXzE9fVUEOlKs+3oG3FrVpjaYjlykdenaaA6oyPSKyVJ2qLLzH/H3Oq2VfJVQuvbAVP
N0hQjwkYzuGClnAjg5SC3LSbgKha23lsKY3wd9mGfCMmkMk31n0y9KlHemX+yRvT1INt5uSMC0JL
XhTkI1IKumy+tfpJl2cx29wMX3aVZ3ceq8VeVrpx2fpx+4yqzW3JRklS81R7sT+cRUkdjxs0GS1i
YDFb+4Y+aB7qop2/50XuXE+D1OtDq89j/kRDKJaHklrF27z46xwCHTTZcA7wrG0K5k7uGrf0nzRE
eagsmrgNhM00N3cqoWXRyzO/zDNn45hIr5n20NwHcGD9xy7TxnhbmBWvyQKh2z/aVW20P0om5Pnk
GQyprVpnbCouGnd0GlEiscio9syg0Qf73C/6kZXWGnW23m32tfPBumhkBxmnxe8747WXiAyCkoTm
8Zgqk181lUayhLaK3Xht98G609DyQ6ehJHcxzaK4y0baxZ6QB5sMJ+ewKJeHk+uGXPYNBcz6onIn
+1wjrbreJrTUxrOYBAZyqhxZJvfsROQrRWOmEaZOORIsKRVWdTV6LavA3N4VcWukX4x6sbwxWNiB
zQ8N2RY+vwwhCA5jLY9PWtSob1iTtTEshHTzIzQl42bCs7rsuzU2Zpsuq+M8NfvMup7yYnEuSxeV
TtA2o+6SgJAQcTKzu5Fbiis8NeVVFLW7hU5A4JHgviVwiuijsTC9br8QjMKl2lMsNnNEJzckrcFt
n5QzG/fZe+WNlc5/ZKyX8rryceTuBrPxs51HyU+hi3mmiaM8AyLsKB4cs0KzoSBY2hd2tIYKthFI
QRZ3RvQWWBVPk4MDFvLU6vP6XHRNYl2bk164RxJc0DmkCHrii7zTaCJBkGTOYDc29BdFEXH9HXj7
nUy8PNlgyNSPMxEtHdlZrkhR/Cfi/xgXf+XvflJJwTa7lh7+rVz8pZRyWXd98v9CathF+jPr4u8f
/bueIpx/2aCP1oPb6qV5p8n8DZrxbJAxQLxWwfYqRF3RpH/XUyz3X6uxAyUZpHjg2S7iuf+BXVj/
4p8aK/DXd7COIoX7///1Ewtbfvj7P221xL//fOqAPm4THU2M4gqSJo/zw6lDgHItScPMDlPvcWCG
cpkItCIxo9gcO580rbHRKaTqImGEmkSBHSuz8sncAmZVhaZyWeusZSrzLTm/cXvQEKqpLmjGqtQD
HQsGoB/HO5+jxD42dW9cUsW0j709sJTOZsaq2lAYJ2oPQbfKwEHAoqGhRYS7d+7Tz32upNc8N/rC
DDESnkDdsjK8cwKA7Jf3NZZ9klYRpoTAIhhq02v2JoVYNuC5tv6ItW4E8yydr822xyyGg4VlmMY6
oj7pTbfx5PiPJQT22y5DnBHlJcuL1aAkuYrNKq9PtdPV3sn1hXyVHk3roipZRo2E3BSjitnY0c6c
rmfwVUyWg8/XaHy7cwPTjLsDIn3jfmX9vAhzmkjv0YaDhVr3YVE0CSqr7g7S0unJuOhXLuOVER40
hII+ZqDN0rBtU1ZM4dMU2Tf+Il+z9113ZdfmfSqL5tmKWqov2Hz4ZzYuoLOydpyXOebngiHmAhw2
BmypCz5Nt2LzPmMFLMPBclEduf7Et7ZzPtPLLewwdPWiwC8cZsRB6dala6flGQKt5NLKtezcGxEx
dAREXmRROmLb8PNjlQp+Rmjr/UQ1m8VBOZWau2Fc81/+eqAFCUTdJsZ4/GgO6xMG2E3IpL5I+cVl
fzedqyaiwDTlJnsbHWdBeqMhiaC0N2f8loaIhHXqXts2WEW5LyrTuMZk0th5AC5CYyM02tB7zjXE
Ozb0VvSnzpW2tSOpWqspxC1vCVDUONBH9kzsHW/7RTo7ZPUufeUIcdxiyuxGcJyw0XW1CI2N0ryv
bAYgWNh11NKURP+DPXY3N2tfCf4XfwpOiClXwiDqkW9dsybwd9GPjAazkzxZ3+rZVvqzYx1JWx3s
i0Ig7KMFKRl8msmGIuLM2QRCNf2roFETb/W+oXOtVgqL8CcecE2rwAw8P15RTVnDJgHNOtzh3C9Y
4NDlMN4MXsvzuuFocRBZZB21bKSjNCuL6/5rySzzaLpFAkyVslIlIyYyBvk6TewJSHPBpUOgKONk
XltXw/qIkLRZx9LBKeUZa3uqb2G4+LgXtoIe1X4egcXQkW2eu4Ye/fsQft/Czrmsz+r1Zc/WQRq5
43SrrIFbosx4vp7oxF6Xi1mf2cho8p3p2uxjzVXf3hN+Z7Gx9Bgwg9DrswIhByNgfSVID6SVn6IV
pCAz8LA5ex3fN+aL6LrDf7N3JstxY9e6fpc7RwV6bAzuJJHIjsxkT1E1QVAd+mYD2Oie/n6gqo4l
lo90PXeE7bDLojIJ7Gatf/2NdIhY27rKNR7tsY6etUwftE3DCK/eYOtWBgUeHAWhb7MfLqZA2p84
44Cwp+TXobMhipCYElwUZ/4UEh8WmGaxyTsCieIwam3jcSC1dz/rCycIHD7r6CW1j1dMAQFJurzC
niFizMsyqOugkbaC0XHH/Z7JgfJCa7uZ85T50lYvGu/gOq2+0wuGNY6cEGKNidZuJmzp0w31STzu
FsaBxFOwKeD2tyVfiMppui/Nmvpy7qbmHGe44L8NLa2ZvUxgo30U6FN9GoKCv+eNq0Fhgil1z5FB
Jqnx2DuN4gmW9nTfsNCxNUly+THXI3nwjY7Ulz4xHz2LNe+C20Y7fIXb5aHzsSk7TIoj0lr4hac8
pwjTfIaRW0huxiNT0qUhtNkD6bUqyKcncmgZppIvu1c2+SvgK7wl4ozt1y41OZphVrGm4IqywGd3
4bW2XYHP0OizwydUVY9SrUUY2UE4fDIgrDalXrNejK73w7pilWJ8zI4oXWlc0to3HksSW/AAgqsS
hYO/rhzPIIPpZKNUkIEZMyyNc5hGaeKwuld+DRpR6vHUMbIru1HEUBkeBPK3Nc/4gR/Se37nwJTr
+ocIYFxUOvjP+LZRUmPfzkcgXJf93QCrb9phO8351nYk2lCdr+vRn2n4Gin8Z81aeJHfjzR0KCnY
lbc2lA7uNuqYiU7iwIBirQ0bQzNubZfdVeCzkQVq5PHi5Y4TD/+sHIT9vMZaGMEknTbZvZ2sdZ0Y
7n6EnvZspFZVPY9xPOcfnHHNmCns9ZQyhhGSX9I7rz52oGFG9Nqdkag1qQBv5mTyj21D0gEei9gs
AKTEnMB+AbY9Lg4HWUH9oAJRi8bYkJBZGckNPdB84PixypE8WUUJAe2AVgbTo8W/Khm2wn3zoony
u0v94m7Jiq941xSeCIpei5+5Skln652SVwSytmxyNXHWsidb5sVVCptrNEFbLNm6X2p6wjo22hO4
ntJHgifHNfvTah8xDzki2ubpdm5VPMJLb664Y8StgeN0xN4drF0rrRR+j9FfILVAY1A4hw4iTp5S
vKkhM1TRn7KHkmnW8rrD2jxoe4++MGMP4KlqlNp46Pv5SPZqc8V8nJH8LZhmHcBh/UCQ5w4cUu40
1/NvSfbaZKVHnDhjtg+zWzQa9wSp2aipjbrkVAV/XaH27WLpCka83pQ0lSZWXJhfOvHGlXYWNLVZ
HgxDxpjG240INDu3dnllDv6GHn1H9Oh4cjLSjwLNG+eBwKUmmTH1ZAp9IPM3RcjUKRx4TWCXqx4V
7o2Y1tTFDON0L53kIZ20pt8Q9PVkG0N91nS3uoFrLE6eGbF6DXu1Xhc1AbtZQ9RpMwF95J66gnmt
n5EUQy3qNGd6LQDGn2avfLIzTxbXhezsO5knVchcehQBZE9/JwZr+NbNrU9Qdk903eibG1I6mQ07
Xoqp5tzuUIn6B32QdOdTD6AhmikJyAxhjm512VkgoJjPPC/3S9aLCvLpGHGPp3oYp+OT72eEsqZe
uwce/XPAN8xJM+9TjCfyfeIQTmsU0txZuZfBrHbau07nsbp+5YawSafPmTIftcyLNsbYdWeRJstd
Ce09qCGfoHTS7H3kD95146d2GMvuUZL7m23wc/ew1y9lfUbEwxGVAy069JxhTN1wUmVrnEwSeA+M
NuBi+cq+rq1FD3hoVUignPMwuYxOJilFCFMk32ScWHhql/mtLbOtR9WpLblxwyUwM3wfql0sNPdY
tNZ8F6NisCqrOpi4Hu7FekNYM+TFCZDj4DAVgvA/ax+7aJLbrGn985I5dypFfwO4qN/nbSZgLhX9
kzmZ2vVcNoXcaMLj50Zq10/9gN8zdH1zOfVTJfdZ2tcvGeU75Z2CccP6NnM6/kgcPKjIF90l7Jeb
19vmwt4pz5l3jHvK44jO6lXLyxd409BrDIDYYGjbbqd5LBuYZSN0uAUPFdgESeAIQB4O/xhifsFF
FCf9caicL00S2ziq4VxmNDqpjAS7H+estV6jVm/kNqq76YWKOKS6xvoK2LbaMrbMw17a7uMaGHvh
5G8J3MaHGPmi6YHLTkw1k4JAdnMmCpJIxfE6UZpnbBpLZb7iIBHMW7a9o98PY14YISYlLYiKB9U1
u08jA/9uIEK7OHgLPnRfOPxjuHymhA6PdVykDRWEkSRa2k0dW9EeewiNg6lN3QPpnuOzlnem4Noj
l3iTKgO1UdPTgSQyxJizPiPGSLdABONz44riuLgw0/x2zhFT9EuoEiS9fualO9cs9CfS5gRL3Cpr
WLEpHLGBwaAqU/8zKWTxdSzLSzL03Qf0SOqqbMXZzauOgaEePZTK1JEedS5IP71Lf8qlnNMPndso
/Vjmrt+fMElYTIW8IfN32KkqOYaZoVE5xTRu0U3U+yPV7MAoeCIWmNGPLDjUI2zTmpnje9Z97NgI
XrP2XpahQw7MwoZsEsM4GRH1ObqyPoqk5NY1VTa7gUjxJ9l5Iyz6K6mvci4yKwHKdVj1gtVjAqcg
qgE1ahOqLQhoFCLuYHM3oWIv5pMO9ed+NkfjETi1CEo5Upb7YI+/mSu+l5fTO9PPr9I25lguxl10
6T/OFb1Bb9qS6N1D48ZcmBDu6kIBeI2txxAOfnv1gJeesI8zlie0N3i15qfBNod7ZQ9YZiXD6D/r
+kzxbr9d0wZpSHuN4GJmOXhJ79K4owSI0Chs2rX1rHwddhbUKZq33Fsh1Rmc4sv3Gjktx+leMQBY
KW/NdJ9EKWSvIYOavV4rr2mV+9cVZN48h7PbUJD9AID8OzaE+Q8oAWqlweDSN3Vmru9FeIMfp9ij
i+IAaQmOEomNqgsSNycWunV8RwaAyVXogvW+Yvg438ueplsmNKVpPRF7XMnffaMVvPiB7fD2gqCJ
WBChsPTkPvn5BWkOU03FBXgAcKX+QSs13fdgK88dWEW3Edrax40mzCkbUeqxGSiUq7fputFytyAn
a9Zmggr914/q3ah3BV1gTwqkfJbpAcCs//8PA2lo6kWKhUR2iGqfF0oEgDV9WOxFdS9M+oEI7ZJ4
6W1dQQd1oclStv36C7z95j8/GeIpGDMbEHOYOr+nTIyJCwxr9jFqCp+ZGrQ4TOKVb0RMWXABhncZ
Rw16UQb/V30TLRVev110iase1r6umAkA9Q+/2VD/5rH4mOw7oPIgYv+wuqksFdVJBpG5ggK4h+o4
xeFE0jhEH2CVoMe7vdyqcqGsBj9vPv7mmazb9d0z4eMxThcuzds/fEzgieaqGhaeCcM7TBUNOUMK
7mCHEo6KysDR6L9GYT3mXqQdjbVxq+zCzq4GBvbmje0yM2AGnvdxciAdoT00Egvnb13k0P2+TS1+
/YXfZUXhvGCQW0QWAslUQIj+e3OCxNBkOg+etrcShzPQrFEQnwTBHGy1ieOCgx8ioCkG7aEyF8CT
CTbuK/kuanmYfBh5D7Fl0J04CyKoDKsrjlfb5D8nUr7i8A0essxm3SOMW6ZrNao4PdQxCFiQeg0j
jHiQ7WGZSz6d7AjAGxemIxuLhuC7BP2/nL7fIdHkrP2S1Hf5+ql97fLXn8zOv//QXxi07/zBasZo
GVYJ1xQr5V+cPt3G7Bwelsu2+8lX0l4N0jkZYNqtmuq3y+0vCBqDn3cQ868gZ8IWft5nKJQwljIg
5zLhc1cnhp9PvzVRF4wlGa4tQN4hOS95CwSe0xLJbK6uGR7Zc1Me0yEiEl1pQm5yBE6P+DW4x5UV
/VCUIlqQQlnmuTUyF6lR515PGeQfQpw0uNqEqdMQWa22q5ZUvdiIMi+t8CiqB9NXO78X6cWchBVg
nxtDkBkWk5476QIHlO7SxyXqqBUG0NEX3ua5Xt3246ju6RfMDI54nD+3CChOttYKxSjSrV4YzgJQ
6YkG/UnU/n2RiPK+NftnV+TLsWMMv+fGjG9d6Sz3ulG09xNVIfUUX39B/xxqo0XxBcbL9NvKg8E1
YKgktse8FKnBo0qz6dXzStq2ro7ijb24062UTXcL2y/5IMtcER1dZwT9xAMGwIlnPHiOTO6dyc3C
QbexStb0aroGVzKvheyeyiKlmgcM99qNPVhmoFvN8lhhExlg/fsJkS/WUdaQdwdGcem1TCtasapx
uj/TahmTN5zsCZlUeRHjkOy0PllObYmpPsJiK94Wg/ACwD0hNhnYw63pM2PQivgGvVq287IJRWpC
Z9/BhzroYz1eT0mlrit4PpfEKF0BsXCcHwD7FKirjyemm5s31OTdYYZtefakPl5j4zMfqM2s18y2
6lPG7PgBv40CfnKu5SEaUNzZ2sQUx7Kx1RmDAH0nDU9jHFlUdwwyrYee2fpHKpri22x2+qOJmzWH
2FTdECOvXazU21Gh9sSlxM0cyKnyb0k/LF8IxRl2Bi7c26o39XCs8mU/6o4WalY7fZG0kTdG39TX
GfwtbOmGlKBrFk5Mppnvf7Ys4pMC2RoSO5XFwp+AULQ8RNKR3FXdoOf0phLZe4QuCchr2AkUqcC/
9utgDuKqIvJ8b+O3fLGJVg9UpWNebC6YWnUxk3WDmKMQQX923Sy2fSjiRtBYuyAviENu9QZdT5rH
y02O6gMGD8S4z6K2BLk2cUeyjxzdAh9jz1FXVep6nF9JcsKDADEkiB72TYXzggEBAPuUQSnyc3w6
7E6duRGAG6DnDkjM4uWjLBoTXkjRTFfI+uNHlObOjZA2pewqJRu86jaF6X4P0cwMc8fqidsYlhz3
TFCbjVNLheixnxzszHriNrqxQq6ZClAUNEvRkTSG9ujMAMzgVQa6eVpdejKXVN1njpHmdkY2cyDz
Ww8HVTohlFVgC/gg414NTRN4MkVFnszypozL+KZNbAwipGv9WaQFlgHs7elDx0Q13kxCzQ/kYuOa
2FSFFi6ZkcCMi8qTWgZibEoAmChAUO4Mu6qZ9RvQd8Ogza/yEsc+ET97BjkH6OrqCN2GlBEnSdos
26WsvwCq6WKj3HI6W0yoZ16Nk+Zb4hq053joqP8zPO8jaPfxtLVSA7YY6iLAjGmSS4mQqJnu6AGN
D20XIbeJG8bwcldgOq5PZyzbxJTy4lZnHXMHUSgucc0eZxcjhUmH6vCA34U5u0+xV9J/9hZk5kNN
vn1anZbG7LQl6AEXpmZrD6RrPrTZFIvPdpwTDY6FWoFD91M5ZKP0QtE4Wr7TlOqzL7PXNEa+B2Bt
Wy4uxqz/rQN+Uwd47uoO/L8PpOFO1u3rl58yT77/zN/Mfh2SPkNmcHqG2/gsMd/+KfKEmptbmcGy
4/1rEm0bMPtNagN4x1TEP8UuuH+sftQ+FYLjWIhv/f+kLHhzCfyh+sbXWQgP7qsn+DimbO96ImTs
Db6JMMZwUJdADQgNxKxe2sFHYXxiMulxhqI6ZRyxp591U+fagpMzhixpuq2eE2PGBOQEH5Bh5rnS
YG3jL8e9FGOXtBEFauG9yrN+iva5QPCdXjvxOHACL/xTUhYjiCC+/aQ7A+4PBAso9kyCtO17Ysm4
xpcka5CJNriCUBM8s0Ac8NtAFbcaJw/6R/MtB6X+HoqSyQVvvFDY8ejdYc6gCE9J0z4cUbAyYCoF
ubUBnDWmGoUiln7ewGPHfjnm5BN/QRX/3TW/2zX4iv561xC99blPP6v+x/qZkpcf+5vCYfyxJo6s
vRZAAvuGevavjeNZf3hsFwpljxbM89fK+gdJDHZxFOLkX61hIvyF/1M//+FjM+VQcsMrXg3P/qON
81Yv/7BzbCQIK+TCkMPwHB2ZwM/1NOxS1yfBl4O7io2tmaRFmCyVHzh9/zK7+SdBgCNy2qUPUUP4
cCHcDtfgOYdohqhN78WjGER+0oo+P0+quGa8BM6puahaWmtT6BpM04y0hVnZ1AWqWna2VepbGTcW
O0L6u4bJLZRWRci4b9692XMQEFJtMhTGoSEBw2KDz4RJjQqUMM5A16W+zfLuBZj5UYEawt2qCaJ3
sk/os/VtUfLHc2MZAvJLWnCZ9sWAnUIy+GBtsoUyq4y8Z0J37zPL+DTg98PPNi9FjfwJ3TpDVA++
rWsy3SIsxUSWTubI1Id6K19c/CI2fQt9dtT49Sp4l/TFlb4dNO/YtuIIxtFD5eXRgDrg1FASvJvl
38xcmzYuiv5NLdpuq0v+0mLgEdh5/MSvwGPQqTPTrtsybwJ40/kOQ2NrYRKZkHoTsz5kdtvs6iIu
1kqD/ze370ah+nD9ycxGc5P6KtssJn4m8cwjaAqrD53eWMD7izt/Loaw6PhImL3OlWNLvv6Im4SS
fKE3vwjixp7ybhVLepgA+HX1ba5QjEurNQMnmnMsP2cY1sSVfY4KzeA5+I/kL/dMbIsm6HQ8LZMS
2jp8U7EhWNTEpsDvHiMR5dcShyiiQ4pl1yzoBkfB07Mg6MF2847C0B7fFkkqZ+x8bNkx3MSmBWLt
HfPKNGh1/xGW3ABzeLUD0527IeVLxVluHy2NEZGRqW5bx+V08nzmcANkvq3e82fJ/blgbU2MRd2Z
oTeQQ+lGLvRySI1oeeFXl45zYT1/o02woN3w1Ysx/QQmyLtf3hoQCtPB0Krt2Isu8Iaanyl5Sp3R
iK3p4YSiy85n/Ny+vL1vJIpYVDFAD/qR3zdOWDKEyvLqJfeFApEHZI6/sclZ1dwG8FNZncJjqdTr
XohlPz8VCf/TFdkny+CLsPMQPzd5elE8Ls+mrobRHY6SfeJRP55GUhXPWEs1AUyjFy/nL3Q93rBQ
LCbmPpe3h4ET3xCMGn8Uksunsh7NMIK8eirMzgntiEVb5F10mivfuC87VN0m8UPANxisWn3T7JbS
NFF11vq2hPizhTzEd4iT7kp0Gq6L6KuuLYm7guxpiXOPTQmB5DodEbRXqmaVVav1Au3OWZhsVEvn
IBBDAkd9jgvMk/JvejGkd0PiXN62l5UtCyQoZYaTTSqQIodnUyskpYRJdls78ZHTJ3qFOQPmqYOx
bsMcGdPbuyVg0tpoERYgDPQ4QlgCVYMNDkQJYsrXVb54+bKrGW/tu9jOQxje/o64ngIXb5bz2wJY
Vzhb/C61l2pvzRxjKHT70F785fD2mns1WuwDlhH0ox6KmRG9NgxRDg4AerAwNggqZWiHiC4uyJz0
UzrzX0Yj/xZDgYfdw+7RNXZzafV+YFZGdNJbVV0zhpouzuTsxZh90mKKBNqE6jrKzTxk/k1I4KJr
B8y98eJZHON6Zk67Y/aD2RdMh2ut8/l0HLI4e8vXquNwgP4OO9Te+0mBEwmWBdeRMQ6B3Vlu4NHL
blFuIO43u/Y4uuSQQ+kX2ykt9YPOhD6k+eZQjA0ON+hvW83L/X2kzDssjsR+MfDggYwLDmIPQwBy
0ARYycC0Uga7yGtqnNI4wUoPcf/b2WT6GO28bVrEF0Ogxdojf3dy67Qsidax78w5m3Hs0cTGQQvJ
tTOymOSEDYWb8v7qQt+iAanQh9nTRXn5N8o4Hg2tG/RmHjF5JjhnlfyVyuC92hUSF3vqu60GvIi8
2IFtXWjRLcYS4I61LPYikt+kxz8uVRZmEXlEccp5YmtFuqMT+SwIaSftlJa5lt4z07I6zLXkVhvV
xVvTqAF349OcToxNtKIrDMhEsx7S9yBKrybNVVtA1D9zpyiHjUtF4IY+vChQ4aXNPplZPW2NJoM5
gI30oxPnxbYTY5OdZwbxp3TUeYUWbhkRfbZhqzDTSfRJ6rS/Zbzpgum4RhF7u7abSMuac+wvSftp
u3CxkwZChZTaqYnUq4bb15fOHz7bqY69T2xN+TchLW1BlqQtC8Zy/gRVAWveHezzyW82LUG5AYYW
7PnMHrRtzFW0RcQbnf2xXrRdYTFDu6CXFB5JRoBlh56ZrPYC13MIEhUPBXJt3yKKoS3Qv8s5l+nF
GVxzDmFIRto9NoP5KfHcxx9KsX8zUFor/nd1DZ4IwoK8DD7pv3czLnwwDUwB1cFL53m/WsqkOZeL
VYlH1dYWy4pdZ+N0s/31576fA1BPMX4wYNQhaPYYg/5cT6FZNGectNTBWK23JkICNlaaf6lGMjyn
Jv/26097T8B9+zR4Q66JdlrHrPrnTyPmUbNJYVOHYmaBrJWAn0daSOaG/v33+m8T8JsmwMS0h5r9
f++dmaZ367+aJv2xC/jr5/5qA4T4w9CZs6zdsOUY8KX/pw3wjT8I43DIgeHl/k3h5r/+TdnW/6A3
IN4AAJq4EQ/l53+An7/fFShDTSy337THNM3vp6yKej3pyW47AkZSt5TtjIfPyjm1Cx8OLcSW9vOk
Bvm5MdroNyJVdPbv9qS/ugWQOEAntKbOvzcsTmnCYZd0+bFklH8m92LZaWaHTGQpKaWcPtEPvSSY
bmOisco2jNByG481s7rmtJ2flkjhnlZzIUOTzF0wRd9ghB3kkTndtikVCU1w83Fp8nYxN13GpOoq
Sr1ZhVXXmKFl9MvZ92IdSs2bzhCpR34ZiAT86mWrQSAOV8sOVRbDdRBh9x5rf3Sy5AhyC8MCeKsX
GiuZ9xB9I5jd0zoVJr38mq+J9Vg0Vvic+XQ4pE1SbSh0jbOaMwMmlK1VDXsUo7H2wYgWpZ3ESgzG
/5G39GWIrdjdjT6Gis/6AHMuLFWMSAkRjOZ8THRUainMAL9PrureyoWFzlU24600PZVsvFiM8WWB
o4BTYj4b8T06SRduaF6Cl6ZxqRMK2OGIvNUSfJqPhr3+ydhAUPcytXlT7eHfuJtYy1NnA1WkzYPI
6LwYga2AMkoYjWvE4IBQ0HRsF2UVf4LfFN8MaP5DyBUF/qDeDERpxFK8LGrqNQKaxglcW3p75S5b
yDcUbvrQfnYgs148kekd0qDYOhSuZdwtKVfKCAiCJc4dzW+xLykDzgwXuZXpjNpBZMFQuBKru3En
mZfeyiQ3WTCNp296ldYB/tbR3YDVyVPeOPkLeSs593uVBBZeesx+c+erVkG9EV0/baQPN6cCS99B
Q0yPPbfHx8zp8s2YJDX2BW2FbKjqTyAtB9MwivukyPK7YYL8RGeLmLsa5V4zRvfU1dVx8udHom4H
zJd9v/vk1JjWlasOYrKs9JjHbhnqY19eeXrRhV2DkDlZ0uKpHujTJPYu+xjlzmeXehCeRtRmt9gA
ydd4MBwYmgDCFx+xc7Lpoc2cIJyvbpX6asTWNfN+lHJ5tsziMdMa86NLBGUcmHb+OUVlxvCITQU1
xN4RQWMfcS+l8JBTeWyt8WsUdeJ1mXIj9Jtan1GWxf1ru3RhtqREDySjjTvAyHAaP0aaggI/pcUq
N24c1YeWchnGpOGeMR4zPk44Al0MrxrhGY/9ESv24ojngB9g+ts9dkQi3Vijg1jXKq2rEQHhpRCA
62XcOHdNk8CJHZrsRWKK+JE3SgTopKwrVS/FAcsb3AcXu/iM5Rb9Y9TG3iltreVWOijYyh5jpzJt
jGETNcK7nzOiVjekGXGsWFN6FnNr3WGi5NLDsCUOxdRGcLpFmp4qN7ZulFDd9dBa6YcJvfUAB27U
6YyG9NxDan5UMK0e0tRtTlYeQ0icUv8jPkrZczu4/VXv0KyFk/KyEzFJi7kzyqS8deArHZtlGnHm
xi1bz3wBd3RwvjlDK/fYHM8fpszEz9PXjlXOnLJ3onMBL3mL/aC+GX34z+hCmE80V7Ojz2sxu2lQ
Gn8hgN7cWDimHnQI8JvKaWqU5d2AJrgi+zLRiRqZXPmpiRi9MFBMd4U9g2xU9niX1Y68JLmYDxRE
1l0EJfpF1enymejI4Y4HEt1MdaM+oGk0GOKP5ZZ90m/rcsoOIxyFfWNnSCFLVedPTYpOltfObtFG
9Mpe3nyx8HrdY+Q6AQ1BNQ4nlH4blEH9rWcMlRlgO+AGGaMaZBiO+W0h90/b6G6Exa2OANc3scCc
8uGcROVtM/T+xazN+IVWvMDv10fBaM3asNHnVD+7aa6f/T73L1pdmnfzNIB5GN2MeKE2cCsqpptC
KpgXBhv1pFRsbxd7DRuMxn46prkRn/CGq7axoPzjYVRnRQ4n4cAcNVVRXWnASCdT2gZhG6XDXLPX
oqCT7vw5ycap5ZcWbbpRiOkP3dzJT7nrMQvB9Yy7xA8jWZt/ZgzYjkXn4J1sp+mj0WbdfYzu+2L2
87TRlFyKjaIMfuoq5V8mx1vOGJBqr/ht6txoxnhfpLVkSlt33nU1jvOXGWfIOchj6RyqyhlPWlwO
eyJchsvQt9bJRAu6E6mUz6PjdLcoxSNAlGHZW+mU3HGzNR9dX9WfRF953+YUG/ONu7pY+H78Zcyn
LKSE9Df4reLHKtTVPHXOFsS+D7Sa7xn4WqcB0dCC4WBZDK9NKYwCp4PRwhkd4cepSGz5HBEzHNa0
ekfhlGvSqUs7X9mG3NFuyA/QLl03tIFoPllxLPYVBJ2zMiJxNYgKz+RpaY+JLw6+yk341Cb3G11a
X1x6W/dvMlF259yY+1CJrj7JWuvPUY9QKGMseEGij9piqNQHyANIpxp4/UFna5PYdNao7hDLiOtF
8+evUNBXjp1Kua59nvFVMfbaY5I47keZ1hw9uVbbm7rDKG89tBuX7iyKQiLc6hsvr6xLqkcVx9IA
X1cUMy7gkSP2Xl+/rYkxhervaxLnz4TM1doTr7m+NND6rVdbdbCk48p5EHHcbTAjta5XMJ9jcDZv
Z7noQRxV5/UFnmRh4f/Y4/05V+nWz6R5VqLPjrFJ39ImVX1bx6b15Il+CCdPK3ZS1g5xUYSeY/nA
1IBh9xYZFM1ubTXHedG7O8+J7c99gnvChtHyslXj4D9gYtesruTmTk8w1SUSOrGDUmvs2zyS+Bea
w+TfFXHloQzgkkXUdS0IWua1l7Z+hud/7m0XX4feFKGRahLCBcJawiZG/0CenXfwNECkruhm8gbn
7rZZiuY2nxt5yHCNOEyWU4HK4mgwjiAqe2KLvA/UAubjBLWBgS6Do2+i1NTHshbODnzqBbd5L4Tr
fWdB28j4/RA7wbsW3cHkyIs3WZ8lp7FptaOLpRmIBVmOq8BMLp9T6JYYOaXReDLVtHVqrreZ+SpL
0+52ZYZ8G/Eu+pCUy1q5uZ3tQCnJSrLkQv0xcQhf8DqQ2062yOzb8mbASBa4YdHtPfcdruC2ynHf
wKpWSw3vYNaFuIG3gWAeNPcjBZrbBVoGhiXn6KAQPUHxzeGyewbehEdIy0bAyi5uR2LCk6C1pwzb
A9r0sMJgArAhH+/dtoVkDZHs6OpzdYOR5Mg+sdyWxeF7Xyh8k9DGvWifE+mCUb9JMT1RqVYbiAbj
w6AX8ZMOevKEv5rY2XG32EC7Ut40ee9fLblLtRI70VH3GlVumH1Zq7EbNxi+CdExVQOmk3BPslPW
+77EWcFIFSWmD7Yjzbj7apWZ1zEAz/sZfsPGkuI6GkBi0Ie2J6dIJCZbnXW27Xa++FAYtujQ4qCH
an9KqnEJAYHil8UVVxnk69hNx60y00uFwobf0j6VuWf8mXq2uYFhSRhDBAsfwMZ9Ae03j7MGLj+M
ibWVSuvCxlpeGdF/Sj3tTjTM+EmWdbdwaaG347Ma4Fc37nVLI5UOa7yJFuEqLYwyLDJgcBS0O4X5
LUa9vtpaSJlAddKbwU6tc+fYH43OxkeAXFRc4cFq8pw8mKYseDDliLNIOTM0tCw0iGjdACmltcYp
7DBCQqGfDjcJMMGz1VZFHuBxWAbIJ9odpFgTzHBagijH6nSp5x7jRvyxMXTdLGlmfZw1c4JOj6Nk
CezmR453M7nEuDQumGrF8nvVOi80PSd6LPvOPTRaNJ8cqCnnBMbOdohHm6yElmuuS9Jj2nhih8kP
nrrQDIPZJuNsZelfcDnlZs+z+Qb/5mKbiQLZPFnUrmzaPnAbEOkfOub/D7AGahne6FhjM+5ycXpb
G8cfKK1JZEOYVSI9kjFPW4eXDHESi+CUdlSOibte0ZFSS1Vc2Xr+G8TmPYayfjgJUbA2gf6YVL/7
8CWtWndemvRoTHX7eclIIm7SIrkR2Orf//r3tP/RANPPCP69dr+QYN59FO4tmTslJR+Fc0QVskfm
Ar51XH/99ef8k6FLjKaN3BPAgWBN931ATF5j49vmXnwkzG3eJaK1j+7qGV9UIIaSVFT/evATPeWl
l6/oI1fjnCVObnCtXZvrCIOG8O0r/Rc/+g1+xGr+pRfA9mvxOr62vODv3gLHL//3/3z/mb8nyA7M
C98mINUmU+j7mPjvCbLDcNljFrwaKn6nV/wNIPl/sIuYLgP2MGIGXPoXoCT+sG0DVMt1HSImWfb/
CaBE3PT7NU0+HpiOrUN9Z9LtvoMg84yZmrH48oB6LHnpMwKCtm5D3bWZoCjBBm7LftfI+baozWUM
IFcywfV8KgK92WUDzECI0YvxEqUKA6mqwh8I047x69S72jodygJ8cXKmlv1thWE6XjHFnyt3ckvg
KtVLjD3VjCw5bCElzxseYnqImOk9ZD0Dk2nql0uROf3IKIy5o4dXiB1EWdmeXIOTRNUMh5AT0V8n
+P3jWdReTRLkxS2t9Rxysv3Il6Pzat3m6C1pdEQm1N+TsoK/cZf+iWpNe0mLkvmFrFBigKvtlW/G
mDoxam1E19wsEyAzvdEdgsEv0Jz4JSN+UzwI7sCK852Pa8IW6ijREUyP98jdvzU0pVTbfo87kc7o
3SHHY4cDQbOTC5+eDOada02E9nr9ua8ZJCmTIZUhHqNBnY3o/7F3XstxY+cWfpXzAAdTG8BGuu1G
52aTbIqkyBsUg4QMbOTw9OeDPLY1cpjje194SjUekR2AjT+s9S0eitFYPKBE0c8jS4RVlhZIWpFa
8o8c61Z+lq76GuTgqWe9HY/s315Z0B7sCiNOZpr36ZS+okhLcB6WDyN++Zc0Y73G9It8Q1d12w7G
zRoi/JpLkHINm6ST4C4PsEz1XbWyLX60V+GTAjIubgEAaGDo0vIBT0r2VCIGeIKjwk5t2RxXQKS2
6NTpatsW4o7IvzezugMlOu8DTEmtnKq3Uur1F+UR9hvFsH3WpiJijTXiHXTIfeDOYH6strqd+qj+
KlP3i93E5Q5nSLyjOwzPdpCCN3Y8fU8eAtK9zH3MZqVVK2kOj6EMkP7k9FusuJr83vCC7kMTVY2n
shLmfWtk5iWH7A822IhoK8qomjdZVDyYUDY3PMdrwD6leW2y1ts2blAA5ooA7XDnoNzsYz/KINL0
+QiPHCupSg+h0nUWTIDPUeghV3V7u7xAyO1OYUjYzXaoNesRHlB8krktXgFX934ztSwK48SIfYvP
skRCysAIu/ckTsPESORQJsJaWVbSTt+1AmH+zgWvGHyfPGe4yYzaxGBbsOrMsBfV5IwjScwT/eG/
B33Rxu30Jwe9p5scff96TwA2r63jj/Z/yu//g96uy9//SNL9y9//66GPPE6gCHJBv/xQDVG0/PXQ
d36DuwTfVQB3+3Hu/31t4CKqk0jbPKoMTrqfyS/ub0ydwSCguPvBkrH/o1Ofx8cftmvIOiz0gLqF
C3mZ5v9y6E+EvOtM8sQ+Hct1Hn7PQu12nAJ86IsHqtjnsTg2mKe5kb4S3rFKzOZPqrZFU/UPL4Ht
HgmxvGf0usv//1PNWFq2rVyXsV5ZMyQN5NcJAmfTI9wmSCs11Eqg/vY98kVZbgQ3SoVI/wxJqpPx
gh51PUcIAoAlCfhxOA+3LW2LcmB/RXawkla/Yh27OIUW9/KHJLkpLlFvFGiu09cELcnyx0mSfhdP
j81c7uK8WTXaZrK8PQkoKD3C1D4jkSD2YRYty1YIDqbpixSWpFk8TS7icq4J6N3uKjcZ9xgmUeXg
GeNkvpdts6gO0fS42g03NMvf1mR8nJ6l1t1z8nSbsWBPonntve296Ka2aULnDSYK6iY2DowB1tJ2
sC96YHSiTVdmfj/mlM/pddSCL0kFKAAS4qZv1SvPK7GLs+4ubJwTEqv3OSTrPEnXlU0AmD3zMoaW
oRFcgI98lGKXJi7BDmL4KGRINBFT1AI0HmIvRSfS8MvmbZyat2FO5M1/D5f/z+ECfXZpFv716bKn
iIz/sID8/a/8fqDoluQA4Mxw/mEBqdviNzIclu0k87GlWPzbgWIYvxkIjMA9Qw+WQJ6QKP6+l9Q5
awAZsOc2sWv+pzrEX/i1CyPa/eEwohPj5JIu593Pd7OwQUUkVmg84Jpc0oRgA7OU0Cl313OGEU1J
op8QJ9YfykkNRnapdjW8amLyok3olmLXWmfNyHYEZuTga7a+bj1N4dDv1UsjBD+HDDd6G60vY/CG
rOJXYKjNQxmRQwViZPHw4MkzNLH4fYn++pEuVVKgXReg5d4L6XoxzXXfgN3gy47kIG/ZCUS3IzTR
bBU17fDm4fN4c1gRxugk+NjWUdizJKyZy2zRu1dHiwXle2dEyVsbDtMdEDs0lwA2X6Z6rtccVqmz
NtFPfOvrUGeSCewqNCDYhZF9DwMyjlcl2RKPHUF+f9YG/1BE/F0x8eMroFEkU5TDHenJIvH++SvI
sXskWtDYD3MNU9AyO2ujDPxJTEpHxAsm9SeHk5F7d4x5DSbTC6NJ2W6JZiUV/W6GsbBxHItgnLnr
b+bAii4GO6BPPU41KBdWc40mbdwAV0huOoSJrAOiNnuCTefuWDwTUt6Y5a3r1o9tZpKQroYzkZHG
FyMyduibPpOK/cZPN8k/GTx4f6R/86blItKA8QyTZzG5/fIUUS5mBhqR4kGWefCiL99+yCbhq27I
8U5zRH3oErNmYT0g+4qKnOBcrZ23DdI05K6jeFepzsfgWcN4u9RWx6E0rYdg4k8VcLZvhir1E6Cm
4TbqbORxTLruLDd4CuVo7LyYHMa0QIYFLEfsY56cOzA+2i4l2chf3NmbWeRc02Yr+pOYzc/C7s5D
bej7tgus/YSWlLAHEp5jFIyb0ULQh0MnIj8DMJqXHKUsh484YmwMFHj4UDVkJ2fK6n2NNhKYJ72Y
6rttG2P+5qZML06PAy5r0pht3aeg1iRIKqjtxk8Rzp6Qo+PdDNyx8+O4qRhuEZgpZpSYBtMbJGNE
GQF8YFWEFT25yaMlHsbNjOeJpvCbC2OaaK2hBrpjsdbZEzOib4uoafYwo+JTBs3+5gdg1C30/gZm
J2/OYGKfb6poTvYTEA9vPcvQuGpxO942rc4HahCnEc8uklJruTe1FPpGPzTPMmI742HRPjNs9NbL
0uzy76+dX84sxNKugbOBMkyHXGCgq/jjDWOQvxyEOGivUSvme5KzCrbChAhNqH782kHRTPw5105d
zh/EGBIwylN9AqI5RZ/gMMaLso3gWLWienYqqWD+ZGKHfP/riNuJGaadP+YVPyXtaxgzSU+/lPHd
n8uA2bwABbVprHBEuFga11HUaCUcICkorbXphrDteM1xNTGVtozlQC3TY22pVkcSrBmbhaPKzxz7
8YKgc77/cdmqBIEkG8/ppkaGcdYVvQNDbPHV1fLm2SN1+BlzdYWgNqZFzoldjGh0ivi9EOmuKms8
CShVkSSYXUco6TTTc6Vu5N66oiqnvwyU/kAj/Jk++EOZ/vfzavn4GWsQtuzaDDqYpv1C0B8q1HPh
XBP3VitGBa3uoKeoK+0hmT3egZ4YAuFbo31JppjVozUqT92MNaiinQtpacIyyup6ZWRVcHTTXr2l
vU2grMdIncYI/ctLLaGnrISR6Ycq7rTtv79+/tkboKjjZS2OcawAv1w/xZw2tQ4c/prBr9qMiT5e
KhWG28oOSANqCs6ZYMFPgIjkiCkilOvIhdWbCIR1Qn4QEHy3yKiNqXwzR0c/2wMBU5FBENu2ytzg
S+ZUoF0iOIPu6t+/9h/P418+fOaLDg5PA1k+TcAfr/0BrGk9y8G6lp3FmBbLYvCdqxmkCzpocrTA
IN8kY8M21umLXUvqFKiworAPror7I1m8iEM9oz5k1kCYE0OULy0w3J03SHrcuuqK29lt4rNj8P6H
3MtI/YEH+53uHi4IJJ33Jhi6A9Qwl/hYqCp3HTGlBcochzl8QkrfaDDPaclYfDZIF91rruYeIfCi
eGaits0aKCEqi8YX/LegYYdlu4H0ZTMXTgFi2TDGbzqjgHpl5JLWneWAvplNBcSkTN/1HPBiZBYM
jFKlDpnsg5fC4VanJhjvftx6gaeFn8gNoh5uOf+yK9LgOI+1cUVsPRGVmiBS9Ywq+hSqmbcJlocX
rrz+m8zy5QRZPhqYQscOv+yNpEdBopVz8rF+B3pj5OkXoQyMRhIrwFcnTz7MEmI/vKfxkA5Gs65r
A1mtzIwzOU6NbznZeGFMx7Pk318IFIl803+4EhgxUjPoRJL9KAd/KRs4qxFjp32FSkYHeoU4JUIb
v5zN2TAS4B1U0fp3zuEchVtKMfVmk1B7P5OPCHc+bw6RVjmMSJKM/Lusgc2VixgXM0Fk7KDCYtsC
0uZ2Ba72jkQje+T4b9+NQfbfOpZBmo9dJnfIanWBs6HHym56qGCb3BET14EsmORlZhZk20wPEON6
cw6QJtRGn6m/cxhl/kjUlU4Id9RMGV5YKIWVrd2b3FgkwHai+0S2xhGZFoB2ShwRoz43O8ldu3ey
eCk5l++V4Kr2GQjgnhEf++HRiOeNZ07PusLnS+ajyS5vinJ0adwQjA+5WBOjkWv2Ic4HfrCciJQ+
PZakHu3hRYMhJ3iw2s2VEZU3xhhI8rq6NHriORA/saGGWTyrwWQYFefJc+OSAc2cr7LDfUTdgonZ
5DRYNZGKPjX0hVeNvBsKnHosj8JlSqk1ue3XBAyHK4yb7aZlMSF4uylHXlYugWfNUPPnoIVFtZoi
guDXLlRMuazQii9h2DaHgGxaCYw5Md8jM4inNVYdlZ60tl3KHw/SFCkveF7x0b7nWcm52lY5Dg9O
dkhWBePJ0BrS48SF4K7CoSxPmpzYnVt0/QvqOXa5nrr5nlRrxCI6xu9rTW25J7XAC1dNM8/f8f67
B4IwtQ0jF3gnWHzZeYp6HjZo0aHXIxiP1myBnRUzNW6juKLKXI1h7bdoxLWVpQIBLGnOvuOkuDJN
Bd1iUbbCBiWbcZ0N+HDxzkd3Ru4Max4GHp+MN833P26k/+5H/mRsBkNG5+Hxrzvbw+db9Adj6u9/
46+NrY7JVILpoX/Fk0kb+7dJGWMy2leGVIyHaGxoKX/fjkgPPMXS5qDRJhmUO+xvbS2WVTyuHvtA
/HWoZf+z7Qgzt19Ox+UnCF4WDS5HJzj9Pz4nUz2osOwE9oVgNO2AxGOsTgUhm7ACyQ2wFoM4h7lZ
HEfGgdnDHCvLewer8C3C1/EgndS01nppfmEQNj6njhafEEWMBKQZLvRaVdg470H7eqWP7G1qr+RT
ApKPwmGoHtmaoncjmiEz81Pq4WDt+yxJLg76q2o1UCJsycAtDnkwcfgBdFznqEd98JvSZ+NjbaOY
x/8GoNl9yuS9XiViCM6ZqZizdSRbTHZfHQFqDZ+EJLxKAFuf0mvESzaUzk6oWL3WeSrW0srtg202
b2adLHIEwufYKxh1dJqnaNwLVcotX5R2KWg/ydF1+m3EUrMO1jWLlL5eo0XQ835rMV2nXMNOdKtF
kfFM2tRZdqby9XhEZRJHAqxpUV7brip85K7PmRV7j6M1TrTobCKU4T2Po2sDtEBXZ/b5Pf1utZdd
bVzqPKfTc81gLRK8vXlfDgfLjuIbT8vevLYiNUcRm2sRq3wCl+HtslLr3xtYPocpsBa0op59Y8VO
AZG4+relcK04eupy7xnxt64z6g2xmONXS3cH7HlxAiqWOJJ1lWfuq2F06cZykojPpnzO4/y50vjV
uP4BAkVD/4LUydpQaJcbCaZwbSknR/YwIAtBadCjjTBjL39w5lHaK4JA1WG5Ih+rvrG3BKoSBxl0
Wbp3jK4CNuw4La++d/xC63tzJ2g1J19BzQZ/gDzuKlM9vZumZr4NhkggVpXVOYLHvGQvjBa/xSw3
RDHLnUxg2tEOm/EDjqHsbOVqOkeTbd4YUGe3dhQMd0Nd1duiacaP1pVZge7JbNddqqnvXtMkiCcG
qe9yJxnO9Uxs9WgVzbllm8MBbQ/hZ2Rk2jojymYfQTcLV1OnnJNOh1sSQeQIYiYmsbJrD0VdXRii
YGIJ4TJ0yZJmK4KcgahHg4j0tJqI/AWKZ4RRvwUZQay6lkNhREPonfocoeOqBfJRrHvamK03jGdS
SBg/VKg/m3lqHkM8n/mqx+fyvezmcoM20cNawoi3trRPe7YET9EowfsThKTh1pBH2X/SLpvKVBBL
hPcc94iS+9o5qaCI70i3ibYZeJD3HuvO1oh1+yOtgpkiMUf9Y/cRPFaWQKtab4evxFuZTIsCxxeO
G2w7PFHhukiH6VQOmmzXrhuUR3Rfg/JJnIg2U2fMd46FR2muSEax7bHw29E0Dg3I3WtGXvLOzYbu
ibj18p41XjQhZeNh6IBhO2nKnFYWCpOcmDneEolWLvGnZHKteQSSil730wbFTUK+VDBtYmTij/1Y
4ZKkJ9tGliCuE7spubkyuIncor6z7cpH61d/YRJkX8EA7uvCnG+HTgzrcnSOEPnYdyaZgUQzyAdC
iu3yDkqkttEHvcE3rNzpARWyusmbnoGQQWhFLPSKOV9KaN5QDwd3iqPgUOD3ZF9ZsXwsgRSOStzk
jrYRRTnch7Kqz1OikjWHp7g0HV93aaERL/LY5FCoPD80B3GYK/1THyz7omRVHAwdZVHedIAW9SaH
LKwMJodBuKsNspaCWMEJVBOpRYbZPsxeNH3LBYCQWXOm/QTi8d6ZqpwRoB719MpGtNZjK905HVSM
OOAgF8bcnuKoGx+LTMhtpYqQkrC3b8SILrIsOYi8MBr8AHrBi1mKaE8aD1UqmUebWraT5ieNZb/w
EJz3rIa0b3oCCXhEBbWebNl9h59TksESl1dUrDq4+RxMdiXewjkPN5WeZSwu+37n9o1G50Sx/kJb
0Z7rPLs2ZdkdI88u1mZdqxMp2u3dXFjldhjd+U7osXfb4BZY2qxg3sjQrne5LMk+M0fXJzGs9zsn
kt9I/+o3gzN+dMvuP+XMzFZBOqBwI5H4HGmygvtiDc9qxDEodTVfbXfw/NYs7ZfOjbg3TFsB9YRk
ySRxvCnAOnFghcNqsGL5mmY9FlqALBc9KIrdLEr9bcjR/bL6fww6jnRjmIw9ljOVY3wMLDTd+ugD
kMdw7WXXWegHqgf6gtrU7U0qJr7gwrA834n7+wGA2TM6gHyddCx4JiA7dwmCxmKlVeHwJEK7Onpm
5RxDLOYuJ2iA9BEWN7MecW6ItrrOc3cH+Yx48Exkp26xV1hce0wljPwYYOzglqBt8XSsqkhwDp6r
XdPJ41IbiA5YmWYQrmURuiB37Q6IK5FOjdkhGXODM7my6a60m45KnB1RMZNqPigS1rmhom2X0w+F
LQJpY8yqzegGOfV2zfE9BMNbFAu10wg9Oc1943xAV83eMRVoF6up7xsztx5mF6DFJHH3eUF1HgYT
i3urzTu3c7qFvds/ktzSHS07f0vmpD1EicPwImXv3qMb3ndzhl2EPJLmCLG7Q2UcyiuJh+XdTD/l
uzy5QB0n9yS4Gy/aUAxn8qQZ1Jh60D/rcazts7m3zrmKUWTH1pakToDaBomXtnwaNRwKws1RphUm
Ck98hl9gEaodGGnUjG6LeaJR5lZUwTcX+f7aDqNo5zY4Gom/yvYNUM1zJOUAXigNvwLUhPbd9KWP
RrXygZ3M39GafonygpiKNHEe0oCX0Oppu+b1kVedmDc9p+oGA8NrgNh4hSM0umWsR9vL/A0JPKkV
unzMqrQ4VokpN4hW+l1cY9SNxzR4rbtp3Mkxrl9HDeUI6F2w5BCaDs6QdDB4mtdB51zxRK5vQY2Q
MhOiTeyiN62zJr9G87LCSDMfPQ/4Rxpmp7E9kR6KNpJRdn+RWRmuI1cQAy6c7DHR7OKBoio9FZXL
o97SaYjiIXWT2wW1v8MXpS5ZKLe5baqdyzjxBucIgKrR0nZgFXMkwkZ4dujENrWRdPsQPjuJn0Ni
Y8ZQ4yGSmb4FdkSeTJJY60EOrxjkEyjITB13w6DPt2pwkgWaph/LuS62ljuMb50buAsmEYdLkDa2
RX4HQhpsSJVEojuPHwVe9lfgiGtBmfuWh17g80K+AxKutkleeOQrFlpNVqFw14h4MUXPNRIiwiZz
jAEyLW5gT6drM8VwO/Q5wwjC7j+DtjaIqJ4HHmk26cSWJwDgp8ktdS92IZFtB3KdtyJQPEGHgFwk
zoE1D2FF9KQr9oGpie9AaaxVC1dh1bVD6YNuCZFB0yxTepAgkqX3aPuBCjRiGk8Ybkg4LgzCkfmq
XwmpC/d09cHGKTrV4IqG7lo3ME/DSGv8asg6LBRO4HytIrEADsAir+JZ3DuKBxKxFWFy0YdW/xiV
kyExYrcLcCFbm1jEt0ExZ4X+4I5BlwQERLhR+YG6qrflKi8yL//ijKC/5RHxepye2tH1yi9QwPnU
yGgdNWgyXkGlvEpqW59ZTWe602N6WsKovDgl6ggdq6+1QdKu+nAavymbIQP2NVbAXmMhxjXLV1JV
ybowenUIpgDjhN67oy8aNz52RDrdVIr/umzs8sXkzjNTGN78Ru0mRVbsd2jid7GDxQVM8FgwR0Nq
XsajewAxMHMHs6O8OJ39ZYacsKpqy/6UGRpWLP2zOgWWN2ys2auvCL4hftiIvbRc5fcCf5dvm+WE
wjEaur3MWjbbDH18qj7DLxFv4WBqlplTnO7xF8oNUfLGSRQNYi/BJiy2cLe4jA19C3sIEx2N3ydS
VT6OcS+f4UzAisAqmpOfri80P0x4a8End2VQw5osa6eXwQpuQ/yGDCkyb3wYBy/0+wQK/7rF1H8z
qdBYJy0gkBpmP4J11H8dpm/FFJ2nMGiQkXTLpGF4tmoUKKExT5IvoZuRV0zpSc/U9JepmMOH3Job
2Ol82MjNkh1SAbovy8ijixaQpkCG+8hwslMCHHZTPQRBLlpC+fhPu9mzDgyni2sbevUqrPTqqcYh
8FVXbvW1KMOngOHaWYKHIFezgERgGsvWFsIwwTG9ODlerh76aGzwNQWqcG6AIcn7IqrenLnO0FnM
I7oK7IikKQ6Cx348hxLBGxHut2k2Zc+JUMmjmwzBjh0MlvuJwJ8drVD7mNbd8NlrjOuUIcNTg43M
5xUV26ROuAmZ78+r2m6taUXrQa1TMfP1g8ga3meqPip+DcxBXY7TXeUsQVgFyPBrHXpUYmjrKpDH
4CYaV9ORUc/eYUhlfIjmOTlbEbaeHC7lJQOSvXIQXvu20N4zt5wfMeEHmCd1mzcHSr3cCCudnuEX
Eryi94MAu+bMt9pUzn6GJHfXGn12JRQVFePMdcUoHV9GJcIjsTBkAlH5sodBVV8kgb5OaMtK+s+l
kNWt+myZFNdxIazlBAsJh6kGB017nOTV17IFBXKLWacxoSHYNGMVGBuBi5bx6LqL7IbsA0Yi86c2
FWK40z0t2dtRibyl6LXpuSUYY/wyD1rC81Uj7cNu7zrRsL7YdB08WRwmMAqHEx9J7eI3DZHLrM1G
L7t09b+57JtIttp4Ibd1F2hO9YWEmfHpp/HPP9nZ/lD2/DxxdtEeIZ+GNMZwRbcWYcTPi2pVjSQD
mfpwweZu+aSIIKY0SJHG2qihPwrCVyM3d31iYNyztpqst1akb1wHEVDHzqwEZdRrO29OfFgEf8JG
XnQK//Da2OfoqGuAT/6KRs71vipEYAwXpeqLo6gVg33c/9nm8Z/8koXJ6rgog4Xz6weAvm+k6e2H
S2ygAeV/Niagwin/sqD670jyT0eSrmAi+G9GkqRnFWXc/KzZBn63/KXfp5Ku85v0QH654BUXtNcy
Yfxdv4ff30IyjeAFnd6Cy2Ng+de5JHH3KF1QeiP05uct08Tf5TYmgkDbgXIHjQuxDWLv/0S/Z8tl
7vjTdQrtywC1zn3kSYeJ4Q9dxE/qudiOGd/oTXQcQZoStaWIb7eSyT6pymHUQ5C79CVZBg8Kpn+2
agOLB5ToXWv0w4YGcl/recBCoMzs4zw7MthkfTkPq1aI8b4zZS53eoId/54Emvq5Kqio1/CuQuAk
QUbGco8jnUo5h8+b4Vg1Vl0uZrkKys4+g7V1eLgN9XxgR9TKVZGUpC5lbNg2vZ6Q7GES0XRk5aj6
lXQ19vzJ5HzwXO59zNyApWcBGI/4xrZZT65lWMTLDNI4e0Yb+Y2X2zcDspBV3ncodg1t6zQ6j2MK
OTA4SHbjB5Uk0/0YifZSh0Z+zRN4ORtnLLVojX8rtLDfipBuL1HXzFL9jh9fMREpp3042N7RUDUx
sZG7G2OjBvxXxiXZwRbBt01EkEU7gLHyR3xXoLIc4xliqLGKzTp70I0RLEwkX8N+UrcwCT2/mE3z
rjOS+tCDKPQj3SAlbGajV+A81aaYDgus1p2JD/ACiuVqCWpaK8uw0ajRiT7IiFAYj0n8YIKVnvQ8
z/zYHqtrX3OoQxaLwxvKTnkZomVRRg3SncWwqYyyvARY5r4nve1tgY1N28ZiH8MgrLkatod3OMCB
HOgBwqoIxXfDPyJrfvYkaLCaCeVaZdaxH3A3OdjpHxLkj1dz9MaTSXLRXdyI6l6l0XtimNGbVdqD
z0PjxGhq8q1uUeAbAbRXW2n3fTnmD1md5ky8suZimKR9tHwimKPT+zpL2os2oqokT7h5TMcZ9WZj
jJcpbshIGi04QxavVBsH/NjAFb7MrqPlq8xdwmOToqTTJi63Rjij9JMZVeLIyukz47+/DTuZ3bO/
JmVtGgPv6sSWugfMT5RWHSSM38N5vkiNkWaieKKkYix3s9YVV2FwRTt2156NVMrTxPoaST9Rxlz2
N+Vozi/MAa2YkJs2Il4KXbmSRLDT7PfSr9IUymwSEP1ddScbHMVRRPZN3zeVs2KDS1ZpiSHRTUbq
riLrWfJxDfqjmPJVF2gYtOb2SeOJEDXz1Y0nsQ2cE5ERVKZV8XUauuQuMutbDemVjl7E9zJ5pfbI
NoWrPhrlOAue42kyI9iSRvOaO3VGOg7mZbTnBuA4pk/F8k1NnxqY/1WJnxQKpniWnTdiWfWCvRp6
7WYAJroJOhX6iZAvHIbNraHycUvkTAlnLLSIH23kk7ShYo64BhlcstrWTIPbSjs6lGyrIDZeeieo
Np2T1zvUDAaF73Fu43Obkw0FZozkJeyBAS2EtD0UtmxRmeWS2jqoeJsOybiWlEJXHCTZvXKt8NAn
fMwIU8yD59njfT5m865o8csqHtg7YjPIgK37I+SA4VBPMNF8BpDDPbKEp06ftL1WTRiOiYklLpr+
RQ7igbUF9BS/0umL76ZgMHNS3axLXrvvLIutjW3P3peEqnAriYQEehgHd5PpxrdW1LwVUjGtgZmL
wU9/s1VvtauoFu1rQzjIbuGa+rXKjNOCzd8Kw+KSFiHua7JjqO+i7G7i2MXtsYBAS8T+a6eYXufO
I1gs4HzuIeqe42mcXgnUwB+LLrt6qOrxoRCotADV5bdlHklv1XvUpXdYP/WDqeiJ2JZIir3MIiO4
mZPyABchYOpetJlPWrJ3bRPnO+SIYR0ao74dIhdjteUSdA3TjrYKR2JeBgCW8m6kce4shv0qtrWt
PkcAUow2304RHnAOd8aZY/cUZVOjy/3E6v4IUDFassK06iPVknJCbJl0EK0imvLbtHYRU8PLcvdp
xwDkPMravh95YD+YdcAtkg5cekyqeusrOWn1MZrzqVm1s2m9t1z98VonKJw5rBY4cjXgZrxWxO3R
JOiiPpb46Y74c7GreBCv4bq2hyk2w9uI6MgHV0tMZ1UDe9xFcJaGtQfM/EW5stn0hiRxKw6jN5eq
3wPRWsNDDKdWnkOzJjrIkYpx2Dx0waFXdLqD2fcwJ8ZZuyf/ZvpepJLS3JTGcNOCbr5DAwLnEmIE
zTMLd3JQEgvd50qOc/csArN6q2oRv/BMRuE+5N1NQ0LcLW5b77sYo25GUBGYbP3T/lkj5/iSC8iB
NCjf8ty0P63Cs9iFo9Dr8Fn32Sb0aHSssj/knLZrmPPG5KMUXNaLAZ8ig7rIfer6yTozmso+tUQk
wZEAIOiUtoqH+6CS9hPPEW+j2HvgnZ3oYUrHUQEAGVROh5ps4o+UrkZyGBHI6OFJuhvx13BVTpF2
hzUSzbth5vVLMgXpxczQQnEVt9LBVZ/PB6+r0k+JFgSpRfGQNUS40zcWwYGFVe7racTNin21up0r
KIRr5EKo1A0M3/lmMjzIHlk0vFjDBPzEjapXVMgQt/GSA24JvdBbjdWkHZGN9XeFxXkDnrLWPqSY
mluiyAGvkU7T7DtnUvXe0Qb16oUjUqEJKtFB6cgr/SROKkYnqHGeKzfGGgAYvb2C5uwWK5lZXexW
ZSQsIqvckZyEFHCSdPi8cm9jOrV4Cbw2kJsiFikwuF6zdl0m42vgKWSBJiyigpVFQkQARA6OZwa+
lt6zYUoN5zwNbXXUo9bGeyeFP/UAEjODC87JFKkAGEA3lSBFx07AFFoRpLaV3qh7Ijxbv2ETfsag
hOPbCcrWH51EHRpHEsCeZ0X9Qt7XovwNu0ZH39eUX8GAqmLTSjrPFZrB+ZtNAXUTCLZPpmG/yzDy
Hh3Esm+wmsotSMU+8znig3xFyEmJ3d9LORFZzIpD7Ajnxpul89pbdbZXkZpA2IQWtMLJnMx3Z2BP
3Aa6+QT9KCLHNTcXtkjN6rMoQQqG7sgfUyjM7j5BeH11QRf06xHR11vvYfNQkFJe6c7be8trWYUl
oyFeupkCchOKoeNaEk23cgtH//Qq9kqbILdD8ExlEnyNvbZ4RI1tN1sTVdOpa7qJvlLTIn+uCZ3P
HTM9JGF6J+Yu/loVziWcer+McrxeroY9rWO5NLUedg5PQClc3BIeKGrGaES+2Bm1oauHzg4NF7hB
q+7luwdKBhshUpknmAIOa7l8YLisa6Y+rfUmFiBOwvDStMa8GZDkHIwkQ3otrdaflZnhyxPdWWcD
aHd1/o1IMaIC4s52vtkJo+dV36BhSu22fgxRJbzbyFy2fQk+c8W3Cf5P1SQdRMaIQY0yi4zXwGKk
E9dhIvGzyORTCY91C81nsVJalHG0mMNNydroOQtGwhMtEe3EAsCs9aA71+x0mMKmGPrTeoHHC2rE
fAiP7pxrzbZA6Ld3Yw+zTGGE6dfGBYWwYm/MFiCKrTbYKGXYG7ai8ynVdHUckH+ceYfZ2QCt8hHM
cbvNEYPtc/V/7J3HdtzItm3/5fVRAwGPxuukN7RJI5EdDMrB24D/+jsjpTqXIutIT69dHR3V0CGR
CRex915rrrrfhL5Z7OssNFcEhn6okOF2S2GI5iVkQHNj1jXDMT1u9ufS798q+TdVMuYzlSn036vk
D1OZx0X4ukj+8TN/S3d0lR9DiJVDOasLfCb/KZKFUvVgHYWRgETfdF9pd7BDC9Q5oLGBd2Bpe6Xd
0dHuIGVTymAsxCxRf1Ijv/Hq66rLpHJmbKT+FkJt1el5VSEH3cCkFv3tVZd/CWXGcvob7wEn63UJ
/u4Ab9pYzWiCHx45gIdzlsSXRee/0CqKfSjKX16d+H9omdmcyZ+PJTzgBtAH0WraFmX/z19mElJk
JKeLy8TOJkW0z38Q7n3PIEvyWSYqmiEqA6/Vke4YKruhzOyJJAf0TeQff2Er67mhKong0blbUFz6
dvKK7mtMXyTOL7rGkpp11J1qBn7kJ0FzD+ZtOjqWVgb3U91u8K3aBwnH7CapS0JMpySoixboLa4c
z2zY+Bo9xYBcDL3ptytAqVDe7urvGiDHKnq3hOLs5e0ChTrbjqIzWK6r+GEas+6YIbRyl3M/ZcOG
jEkleXJbO1kRYTNfQS+yh2doMViUgSexjLRGs6SzZpnXFvP7+Zi0fqTdDUSf4hA02Z9gHlq234H/
7pn+/+9b4//JyGZBs391865e2pcf5IOrl/zr//0/++JL/FK8vH5r0FpTP/N3a836y0VojCKWt8D3
V8OPzhqQTZ2i0sePij+Wd8qrt4b4y7WxzOr4j2jNAhr5386a+5fLP6gf+9GQ+6O3xlvFH501zLf8
Np83m+MZ7+L56PHEczRq+8Ccx5VZZ9mLnWAUWXSQfatFBKmGxGo5YQfp0OSC9cLS4URNfjk7gTUu
CbBJwXLH/RcX2Rv5TmPx7OsJTvHQT0NYi52Wr8YyYOUr5uI5t/H06I4wrpt4cFpsIo1JVlGG3YR4
JUbGGO6dbex4d26TZidiH/trvX/Jy4aVlnbUY9vrzVOZxr3G05Mhhk/1anxBa5ePi1hqSKg1MzSC
1egzr8CJBLZzXTl1+ili7Uc73OSgOifSXNeY5QAeIgRi35D53SWjQYz9nR7MzHIbw7PWGe8QGlHQ
nfDFe4m5rf2Iye8YBdGFmbi9t2abG7sLrQAMiUQrLT9X+AGfSgw2V52ciIk1M3mE+TB8Rj9QPOEW
gN1DCTQdGWbXt1OVhC/4xeinJUa5wD6zYVsLDJ399nKMveFqtsfyhglK6S8GD9QDYvPB3WZjnF55
Zj7eWhn4wGpqV5Ms965LaN2iprkEXQwrlAVy0YjdG1FLuE2JmX8eIT1TxOXeDfkozDrhX9zBEZS4
waVcY/Uxd8FcCSgvGjoAuyXJPYHdfgTpA0tilqI+9DPxTQs9tJE0x3btXnh6bkC60abs0cyr7q6z
UuqvTgzzokt78TF20+BjqzF0rwa7XhegLC+G2UDCRuTSopwnazmMwXwxh6L7kCne1tL28+ZiCJr6
yPi6/+YjmUuYObdaupIZuoXeKrJ1hVQswb7tM4Bnte4vaYI1yksMV6ieEmpEOdb2Fiw24yIjGeRz
ggo9Ww4ApKpFWpshhA6/EDsa0fEpqlLzg8HLFgSjzdFM3W3u4N4km66OrKMwEloLUVdGOxpoINGm
sloZbV/vhkn0pxBg0dLJk/FJK8LmACre/4rMy202jo64ZyHMwYsB4Nf+iXYxXBHZhqX2MQlN5yay
SCtd9F5A9oQv5/SzVZWmr0IUsBvo8L59zIdIL1Gxcx3TBzo80Y07JvJSiik6uFgn/LUoB3SPQWGh
MZvCHAhSUt57Zq1fh00Ly16r+XdRhtYlqetduWaEVl0lDGFiFrCcp/zjWIjEgr0R4l/n9IyMH6uD
38c6/1MWImzbxej3U+IgtPJHPbso6J0XrIISh+EuH5AvBv2sB6eJBXE6RHaU7OrBuRFeQqFrufMS
wChta+xtdyNmkX4tCeB4CgIEISILqLncDj3uMq2MEo2btO+6zu6qxRSLdqmYGsuIUvPKoil30SJ2
3ZKgZy9kKTNEWiQ4+gFmes9EJdfwvJwCiYIS4lefPYznJhftTT25cWM50/2yKlqAd9YscQZltD4L
G5pFre2Grnm0KLxvibICijuqvppJg62HB3hZqp5brrpvmerDgRybblnhDTyXdOlgvoXI+mR2OzQm
osUf3bx4E5h+tmbRzlfsNxe56v6RhXZF9ARTBPqCOg3CPjkwnOY3mVq97VQP0aeZ6Kiuok17MUlo
fdd4HLDBkktw7kGqbmSEznwfqA6lUL1KNqjyOqZ96as+Jtw1JDqqt5nMIkABw9t6ovFZqA4oaHYu
8vSlkf2xnTmHQasfk3PbVPipvtFl9DCee6o0Vz13ostKu9Xmiq2ZEpx01YkNaMnSLLp2hiS5aWnW
MlRGkjAdYZjrG7Lc7voYCGs+uu1yUO1efUj7lXHuASMoJE47EimyP1rE3fduMX3jGt3ioTHlsVUt
5cn3+q2h2sxgUZDuWYZLkwkCzQG2qhXz9ar5icG9vAQEb22cARcyt9HRUc1sPWwMJHSqwT3W5ZaM
Mk25/LibGGxfTeeeuCxxlnqqUV5Pk39ivM2QHflbdpuqlrrjN1/cMtIPcN/Ecc79eq1JRtbLyh6F
es3W9OY9br97V2/CFShtNn2qiT+rdn7ohNMVrEjklr1oHuYUUIFmo1Az/PjWbkAvmmo4gJFG0n9l
YICMMb/rsyC4tdU4Aa13QtSTPq1MLpNPx2KVqvFDNgYvkRpIGGo0YaghRazGFY4aXHRqhNGa0H7V
UGPsuHUSTf9gq4GHrUYfUTIGJNjwSY3U/TzQkDh5WG6WoJCnDW5ufwPWIftGBG5xhS1FqhHL0FpM
Wxo1eOEdo10kbcw0po7y+gQmL1vValhjqrGNrQY4/iijz9Z5quOXkhSStDtxE2ZXfqlnN6TwIT5Q
A6FYjYaE0G9cS1orNSTZ52qAlHmmv9I6NVQaxLPdN1TVQkvvSAo2QOEzhGqRv2zkeTLF61BNqXrd
WeLFKDbTeYoFB2Qr1GCLCCv/YMth2hVePO6dliVyTGdnrwH4F98xH/9W17+prg1xBtH99+r6Mv7M
aO6leL1R/vFDf2+Ujb/Av/kwjRCrQgljZPyfGbT+l4WFglIQ+N2PUNe/Z9CQ6tk845jxTUc3bZVL
/mMGjTeGXS1W1e9xVcpR8wcoevGm/oU9houLDTy7caz3+lvoXz1qY1tnUhyLyupJHe7ZK4y7xu7j
bUCqi5Oj0sLbjMiVwPiHeCys/VhNUYU11q/sF9S5hSFWVLNmP/JSd+YJd/k5Ujk0akLP/aDA21YX
spHbVxXJP5TTqjJ/NTxnp8oHRniE9xjnMfLjn6tp7AVDFjRzczRDZIPMgrSlrXK+iVPGk6Ax4V78
+oCmqnfeHBLAmnAtG0SBw9VU3YpX3QiNgrbSQGnzIgZ13AJWXWa9EM42sSzcdey+sLKIRq+e/KEG
vLXsrN61duzd+mBjh5Eo94EbY3+be8SiiwL48rw1WnJgvSJ2zXVJuhdjQUvcZwac/K0VFOURlVnQ
rEMsqNBwUjgANF7rfF6yahUpotSC+GrN6cdTNkPiRppnv2D0L8Hn18rv60cBKc+NC26NmKcAitoA
/dNbOlwRmqctKuhNQIVxOTmxcd8Ik5sAqLD90ph5vJ0szcdO01aC9F3qE9BcZKCuh9gfkFmqT66j
OW1W5wx4AYRhBocm+W6ySeonDTrRTeioaAOcmB6QLtuonox+ILneKfHdXmN35BP5EwyQCSbo+IDn
HTI7THZD3BvMZOXRKC3XuJrTwdU2jjs51UdwBKRkt43k/qMpNOMWde3+hJzVuNdM/AsfKtJ6tWfT
aDlzMXZQNmhtOZb7pvKgUPfUYOA9HY1DZ5XyXuLp5NOxGSYWe5zhBS00grSim6AXcBLKpsBjD8Sd
75+khf2SDIxOusnxH/uu4cf9QTT5qo6d28jp+NW6rDlJ8QQ8mnKlbeXHCJ9QtbMASeRrziM5B3Zs
clpiIJ8DKoS2nu8wYHJZe8M2gFVgPo0Os7okrjo5fh0zXhkqszz6JCKIFSpGTXVa+uESn9l8q3k6
jt9k5OE1Qxgzq5otR7uWzcRDmPmCT9k47uCuUDdnxEyRLJDZtUCVPozTvdMazO9tfwRWlATEos12
V76ESWtfTlPoPGo9TKahr5A4mCm13WDFOyC5lreMjcJ9KULmW5WpJyOTRW7ZaIDg0SMU9JYAuznj
eRak0wFdBWR1u3T9R+j6sr3FnQs+2iYuelaeHE7vEKMEvtbbETsXXAVK0GXe1aZgxmx50WxSt1ma
8XnIR65dbFbW8G1KMCQ98dc8+VaNMDSISxL3iYN8aMnow36RNLcI1oWVf4+rgMuTpVrtYB8ZuLbp
ANkGJl1JfdsbPFyIq3koUZOinJW6VsmP5/R3UGA8CNrscoJjg4b4FlhIebSNGfFrMMpmF/ZJmW4S
FYNBsG+966IZb5xZdJx6t+w4ijMC8FgInjZ/PTIgR5PhE8jL6K8pjwVhCs19Os+a9qh17lxf0B3T
GiaQGAU22WTy+p3JU/YfYkvP01PQJ81uzLWmJuXJNPdzb/GC+B7k3mD9JfZGH2KUgn7IiahIGdkF
IP/HjcVbJTqgMILfd76R01HjwpWaz3PsIOrE5d8AI8e+YvIOLSxQ0HAX0HqCq4mcj2PmdQYBuRjy
ll4o6A645iCuIsfDT+dlRAEA5wqTcecGYZM8N6IZQuYqXdh+Melsph8a3hAiWlIc2w2Db3gEHk5g
LfAR+oZaQ1qT4DfR8UwOssbptmqzRlwlzI7HD14X1OlX2y1wHy2onsJgnSO5Nq5z1p+5XhhdEjr7
oDA8IDFl6ej6PjLY/jKkQwW+0OJQf47HGRtdHHpXhan7H+2+C5blTNh2H47DUuRl9zCVk7ZOWxmt
uDGwMHVYQswM1bsZBHHKAL8fKH6xjq4iN7d3bJ6dgXgUTD/xhzACM76xKtthTFjiSkIUAJC9qjz9
EY2IsSR58VnDEEqnAKFqOlFtxhFunp1IjfBTJgP3q0oWXxSiAS6dORfd0NSgp7NmvHVKN3y2zb5Y
5yxSq7Jgf+wRQPcsrCjfGIUeBkt3zm3KL7e58UPI8S7iMTL15jS7jKswezAS6WJokO1m1sjh0Ppx
XBYNHJM+H6rrPpvzC9vqu7XaLt9GoVE94z2N7noLJrarj8m2oUbb1BM6bT0pi22P5AeipJM9DLkl
w01DQscFrAgB/byeD5nmpxvPtNBC1EOBV9JF6Rb3ZnnPolN9LDAsRqtklgqer5cfyNZQpzaPfUzk
ZKsuHVxaMFpGMsvinuIjcOW3uHEbJLwkYxtzEm6GzDCu7JBh6SrSbVBv48R2YCVpIRxrmZe47GqY
AshVaSZFpCiHtrhNgrLaqhn9CnVZ9TFJm2pgleqdfYFlpAfo4nZXNea5O7/CBajRwtjYmu8AD9dm
iM3Ieq+0qK2PvLCnnV4U037QhL+f23RYT7JpUEdZxNmQPbOLCunc93E/f9H1LDnSAZ2P4Cr97Ps+
/b/SWN5t5izXhS1GThExvDRSmcq83p/UZW56SVYFh7FlPp4Skb7UB5NFCNeLhwKoL48BT/nu1/si
tev5eSNGPxf2i8HczwB3rHZNr3ZFVjBHbjTYPsh83qKxFfNiqFqDPcavj/NG1cuGz3Udl6P47PYM
SFE/H6ePSiB3fhgcrFTtMChNeWejlH6yx4AXxp8fjIa04HRiGPffIqlId4NrwybwgEOTfkMZWXsZ
OVj+YhxCvz7U+40sUhSP88bATLznUdeh71baqDsHPMDi6pwMbw9+hvyjLY/SLb3f3CX/cDxBHQLy
hva8BTzu5/MomKqXRZbbmFyj4PH7ElREOisGxl92IzKeOL2//o7qzvv5HuHLMYNiUYG2826zPtEt
bP2mxcHhFOyuXI0ZD9uSgBW4wHuPWhACp7nU8p6/61rC8vHrD/D+JvVsh+AXj+GDYbybvZWFVetj
ljqHriNaZxiIhRrFUB7/P47iIjeGBGDTtHnzAGZozknXlM4hhGS8Y3AXw42fht+czH/6LhSUUBMQ
t/PgvTmKQ8ZjDd/EOfg1UGMndrOlQePpz28TWxGvFROQQc/b2yRVEfJVXNoHI4Dfi26Bm6KfsJCu
p6AVV201Em7y69P3/v3FO1095TRjYS2+feiKuCcVJ3OsA9NK4gQ6shxnvWcr0mVojwtvwsjhyJlb
5NfHff9mQQQOrhV4LDHM754I3xhiIkJs45B2PN1ByXuydUjenBPHu/j1of7hK3JzEOvOHpzR+duX
pZsNDYfKjcPYRPlyykV5nGVbPdH/542tKjhEdH/oh+DN6aF+ZygG8N5xGIn9/MT3OvZMLMTiQHxX
sytyy9xnuhdtKXR++6Sr1sSbR92nO2ErZwRJ8O+ftMhrPPBD+gF1DoG5ichtzC4Eb52qfm6uygRw
6iKY2CbjraWqYK8lr/q6H4ONpUmL4qK0X7LQkF9EJE12nTPS3xsvdUil+vW1+KdPSusDEAJDQho0
6jl7tXARaDHEBLZzh+cmB4rxkT+h52W97BPmngtyk3+3Vor3zy5eEZ4qlmd0FZ6rPtOrY4b4pI2A
Ne4AC4u97uiZ1A8thPQvXkPW2jKqAnW/JzEM3C6rn/rensUKtMR4qqVRE2cUdnO9YZcUb9tJIIr+
83PCm5J7RZhcuzMu7dXn02vJ1ASa5CGfPTbdup08i1AzD5KIURwKtf67Ns67Z4+Jr3oaaOVwi1pv
D1jHUm36p/lAnJ/1IvVEDTLrgtt0xFj3p1sINV6my6XToOFV81aB4c1IEMPanw4jJMKbpCCBATck
VQ4CK6qkX5/Kd5daHQyOqtBBCvA6e/PU5UosJQN9OjiBTWFJ+507iweRKvHXBzIwq/z8yDm8LtXm
webLYTN5cyNnZoQtnaY5O4gmkjc6NRwteU+26QPggVkeq6SnE2KFlncRDREz5axyzQYzvFoGy3o8
RTAh0EcOFEtLXI3kN7pNsyMUmVYWXS8s3JnqfgxMYWemr+F00yLaZwL562/y/mZAGKDEPqxrjCLf
eqriYvLAqkh5MGZiYgfyqo85qUfbUJ/+eNfFKJh7AP0SDVv3HROoDXWj7ceowVPqmHvPSPj+dVn7
a9JdyqNVjL/tH77ZA1ksa64HqJc/CX54d5WKOTcFNlnrQP6f9RWeYn9orMB/PDdEHFfS1SGVzH4o
R6ikvz6vxttbBJea4QDqxqmnoEqsAT+/d4BvtzEg++QgwDfkM6F4gEoIbXDmzjTUpNr75AjsyCs8
ikJe+WHJE2g2Ybwz2qkgVNBIppPe5XQRAUryiqobVxUWXcPfZxAL+yZ3JJJafv+NCxED+k85xPYO
BF+q1IeeWd7aiZwfG3V7ZRqLwXZqkQ4d+mbCe204crwB4EprTAYpfb+UxlEAKKxnWu+FzEQubV1L
m5WO0Ph2oNtwhcNU245W7NyUkwCJUDKuWdDFxnxKoLqhX9CWBkcjXbvzUa831UWbAsJaKjXusCrJ
+6KAnuMDQ2yxtPrMRiLciYgBPGNJlI/0vnWsMy/mjEOFZ0YkNI86dATiy9B4KU1xDd/MEm6qaoZO
YRrdgEPi7yrqqtw7JS3KLVP+INo5fUpVVNQz/zrX7o/NZ58GdF7AzLHY1BXPWlQg9/pGtzxGkiJC
UgqAaY4+QlBPG09ouiGgmXmZlRfk0PXtrTQlF4R5GU93KfIqPZWzznrRdC2Zb0J38NPrhncROk6Z
ntxKyC+kLPItBjOx56+mU3QWmFH8SEt3yLjMox7zg3x1+8UmOXS+q0jR8depkVgXPWezp6NBIhhk
8TYdN041cXj6IHSu2jmiEe4RMgjGxQz4jR3wIfFpHpQedEw67W4sYw5dp0gtVr5eWLRwosyUxjXw
Xbs9EV4WwbjldiHQm25zsxSTO1RLeHHWvu8b6RIV0iqFDBSoYeUYvMJt5BXVoQDCROScO8TuBRhI
MeyR/kDmakfRx1clmdcG9JpOztsR+Z0BvoqIEVR0IAPvRYHkecuslBusiDzHuNLihrXhvA+gZ8/d
N4cOrYbIKemb4Rk0p2NAI8TDLTKV4ze/nYMbb+7Jpj234Oys48OY0SjurcSwX2IIvwHzRjlU8KvV
Y4WpKuMO5ZkZXDPxXgo7pvU22JO4F6OIYtIxAPsujdbiNd44NndR7TlUZlFmc14NqXrmZiK7T1PM
JHwzYiW7+T6aAS7+AgpLbSTIB6UfV7rWSy4S1YltaM+jFKf8GUldmbFdsfzhj6LJGNG7ci8QI3fz
ItXjMdmUXqrLY+6HPKZ5pTFpyCaLE2sFvWVuEvSA8a0saj6IIHixAeNpyBMswXp87kbXJCkyc+00
PXmoKrpLe8zEvZMkhbXsGhCFXz0wSs06wf5l3U6iogscTeyNyVARg5uzHjMGgC8V0a7gXoEuHuDZ
sVrT/cDGPG2x0KP/qCAqx32FDzwI5pzevJaRG5k1AFFwTdCU3NBBmz1aEsj/D7l+FnbQIW89GmRz
1yfD9xX/3znpb+akQk0PX61I7/SER2KVus/p9HpO+uOH/p6Tgvx7NSRlY/C3ntD/y3bxWaNzVuUE
nYv/OHVN/y9hQR7QdeaWNDT0/wXj49QFK84mm/0EaH31U38yJX2zlWNvqgvH8GzfZLMKbu9Ny4TN
V9R4M/k0vQhanK+mcG8HEc4bcyAsKK5d/9DrnxJtQA1Ww7PBGeX5p77s2x0mzH5r1qLeoojR9d/s
MW2D7/h678dH48tB89INFT/Py/znhZ2Y0MlODc/Zuz2ojmtyjPRrb3bQLQHys9OF6Mq7WFiatY4J
YWxDNFisvRBXYEQHX7yiELdS2F7drKvJzd0PM3EcV7jChnYJvVs85RF+lgZjcTVvZqTBHnOjBP4P
UiZPaiuLNdjbDWkwryw9LbD2imywsM4wtUubh2jqw105aqDbl76d1ZgAZTatLFcioUGMR3+t6YQS
LSbrsfHva9waTQcbyTNvZuF0D35JjCz9b2KT6SlnCDiHpP6UA6c9gVwvIXGwridL8OrkJ3uQP8Sm
D4woO0CuytINuDcQrQle6NuiZnEZwgHDQ/A4BqG2ZevSHOowEduuM+XnmPzNaz/HXO0k8gjtgZBa
RxIrHY8QGsZp68quBSET9YdR6zUyqmeUixnKt6vaMqeLIozInIQGhaBOlCfN8p903tIMHWB4sWvK
oo+wmSt3oXf2QAxpqd3imMGu6UaTZKTajxehO9/pXZhdN1PHzHT2CxgmA8nfGy/VLMhQ4HRoR5Pw
S/efvYipx85J99LqRISXucwDL7+x+9kF8YXdLb3EmSrNhyTEdDLy9r+e53ptTYGxqf1suJ94I0K0
Zn2merC3UCKKTeUSu7wUjcM2jDJKoZgFGaFBtQbEoS3MWYdhpTPPsOaWYUkdOrec9frIbrLZJMQr
HEJA7Qdyqb1DJEi6XAWFnn0EeS7vS7dMvtWDcAH/dVp1V8t4xi5tMCXrdfdL6EbOBo9QvUYxCqzN
6NtlNvUMhOKyhakY9dZmrsEZk8VcRS8pt/3CNJpx2XKnLWYZDifdhccAD6I/2oPs1hi3fAR1UbaG
mFUw6gQxNxetCSs+b9DEzsYibOKIW7rJ3WAz9CkhqTMeuo82v2QJ3k1bBJ7frYHZiBcjTCLGo9P0
1WDudFlj2Vx549jscI8iIW6TxHmSxkSERIAEbM8oIWlW5WBO0XJucYRu+5Jd9MK1pfQWRp27BopQ
euaMuvxplYVZONPdCrR7mz2aS88+I8cb7ecRoQUO1pHzuO9Bt8hFTt1/EaZOccSNydmzQL+xgU3W
iezhGU6GnSwKL7A+Y1saAObQdIImUqmxDGQfwC81m2n00HC0fchsOAd4uiKvxl6UscBvewdU88po
/eHWLTASbd20dPZp2zz40TB/cvt5XDM9tfa+k2BHdQClrSoB4o434fDUR0QiLCrPAQuZh3MhVmnc
pPiOoItN2HUb97kIXAI9bTywjMigPfVXaGxRlggsYQuYhy4VQ99G+cVUuq3SB/T9vgyd0sYmR4DB
MoFXhTO/dJpFH4fGNfLZ4dZpmNZDwolQokyFzK7JUgB6ZXgR0eP09LRNIwUe7aqZnSuH18Exj+DO
YNfO8segLepT3JltuR4zAx+dUpZqtRKZukpvGivlqVsaWrYSXWytdKVMdc4i1UbpVXuGmZfkkkU3
sTGkD5XStZKFJjCfdtihqwG46FkAa8s0/ZyEwJMXjEooWDSzcW7ouWfaR9AMiGhHpac1ztJa9yyz
DavGaTZMff2vzWzWB7qGwxOoOzTXSqUrlF6X6PAVw3QNUJBS8+pnYS8BSNYx8vtk4w59c2ebJRLg
QDjRLd1r40PZ5/HJncZc7BCDhDe09CqgEFOb0lB2I/lcwhHPFxa+V3vbKO1xoFTIFEi1YKA69pfs
pHok8WKwiWEyPQRr6dQSYDkqTbPd41lWkYH9N97vSIS1aNjULkw1h5lgtgx9fb7AU8x2cjKTfZMa
47pWWmreDeM+UfpqfLOCP7jpeM/zkKfID8g8Ynyx6Gb4fnDZEGknNnptcZZuu5OhZNwSRTfSScTd
aJq6Y0t6wfmyQaCPjrneaIRIEZxt9MJdM9b5nJiIEAePIOGUuLxHlBPVPqlc98Y3I8FR889GrcTm
sKrN61GrLnDN8Mqxs4tw8gL058StuDg3YSmO4LdzMhN1SLUVke1XE/X91io1JFPzPFLs8KBjeVYy
eFsJ4gHPGqs8mtDCNvyBk0d7TpSMvjHM8WjZtcUoqIqQ2dt+/7lX0nt4xO6qwSO8VfuST5mS6HOX
2sRNnZX7bOZR8U9K0C/hShJWjLXnaHrKFGCbEep/IcGFrLtJg2aBWNg3N1OjxZCbEBA/OknbFuta
2Quss9NgOrsOQkI/AkCXyo3Qnp0JXuQOL4X0lGz47F0AO9U8xcrQgNCNywUnz0r6aw1C+WnSnbt0
DOxtcnZEmFaDeLqA4H9JtYtnAtmicR2kCMzYYpXPkzJXtB02C3wHXC/YirgvNDMpnk2s+vxOzBmG
smmQYY8G2FXmDa+W4kLyOuMpUuaO8OzzYN+F5yPzQHMtmA6lL8xPn6QmkJ5MwkSnn/jVIUGp7i54
6jQLeNQYRMsuC4ZirZV1foLB29K5TqZbS5FJxjOkRPltUdUodkkn5Sn0BxZriEmX4FwjzCE8Yhex
waBohXAUuSiiGQABdm6h6laUlEDxUtBT1588v656+FOaf0AyCpTTRCjVkCHG1GM6w1caxWHBogaS
xVd0lvYMaiEhF8TFiCqlRreS9Bc16i/IbGfES3PGvbA9aT4YZwhMfwbCdCz6hLMoTIzOPUA6nKLH
ICZhJcDOWdQ7ALjWuBqHIIKGhmEexEJmenfjCI2mPINpLMWo8ZqUF23kK1Jh6WTJJTHPKVKCwM2R
4HvjY0M01AmLgPtcB16yLR00+4uURuNnSwTK3OvWxbaWDU537GC6uYjEzJJRu1FHjlslbkiVifID
WRU+tboLrbjQrXiZ6aG+r5hz68ui7LWFNDtHX434Gcz26HiTUTr/lnXUY78PUzR0y2N+9Qv56wsJ
3y/Fl9dl3Y8f+lHWuRhFGejRb6fhyT5Gp3r7Udi5PiUazlMmmGebKCXfD/UrdR0zWlrnvkWjklE/
zcq/CUzuXyQxUF6Rn2jhSv8zMrwatryaSnN43fF0aieiM3yGLm/65oXeJU0epSRIhIK0ElobxUU4
htNDzuK2DEPb/k259raO5IDIMzC1Mhs2PZj3PxdrbeZH7ESdaYf8q7nVYX8vz5OcVxfh5vsXeB3K
87Yk5CjI0Zi0Wwxy3lerrS31nv7JuJta0GqDMda3xMeTFMvDvNa1IVsI2QwrnCbaSTLQffj14YFr
vTuv1NwG8y2qU07y2yFnR2Y7hZfb4kFyUJzBQZ43mRvpO2KQvAuwAM1hTEbaWhMvC7GoAjMAB1ih
jF1K1NB3mE6gJOKDnS55GyIoC4WVLbx5SDco+Pj/ZqTnwlzINCRvY5WQ/mEHcrKXrTfRPm2n9ERf
LV3NIJJ3kWX37MhBBOeOXZNwTF5d0OeqFxYK7Bsk99aQkwAN7vSaph1ChOqqGVL0pwQz3bRmF2B5
l9UL0lEC61lQp28RU7INSKL+MevY2GPcLS4CoWVLmlueWA6lUWBb0svnKJ6qJxHq/OAwxv6FrMn/
Jio8OPm9m7erXlZ6uedUMeoKBWrxZcCQzNyqWCtJj5CIS/KOjXuGpER7jWV0bddzgdTMx+DDkBS+
lBs3t2XWsxT1LkU7lAhvIZ1ovkQvF+8CPR9QrUFgSTujvpV5SwJO545bB+z0HngPH8ds+8dEz/vH
OpmdO64ORg+pG2v4y9myA1P1eaLNuAxdwT00FNND1AblE+UTVwZUtr5zBp9naGiCg9kW/oVDqbmr
62j6NnTV9KA3/MikN/KDU3reRTCG1r4OW3GPVFZ+SM4J0WXpX+Q5tuKVn9T4tax8wILiwOKERZtV
a1mhZUJDa6zL2oA94kRYyQSkTQyGzWcr4D/DlJHmMkwgZ++00WPUZnU1WzMeZ09rp60Td9keX1N1
Nbm0j7GQ0FqUZtEU7CBktq+kRwTwDBTZtbSRELEgPYWDSDcOoJIri2nVMqMd+jXVWaTISE43eabr
vDREiaSw7h8Dv5wv/brnV8HA2FZU4wsx8o39QauuglQ97FptX2uh3i8tsBhrx0r8BZ5nJMmYvSDb
R0X/VaTxtMXtYV2HFlci6BmiW0U1rYD8Q1bKqo7zmobVi5v5NnzqIEmgymtxAfMiCE6OHtSfIenO
l8UQTQ/GgIq7oJtLjVunG1ou7Rc9ccQ9xQcN5TCbNzB42GGGXMekU6da3aIZWNKvEy2EzQxnBAH/
zJWwnHLaWoL7n6WfGU5INBIxdU+DJkGUx01+HXrf9M5nShBruQMNM8iNfSTtZ92YatX86B6Z6/MP
hpbGW0NH2mRZ2TNq5P5ra7nVVZXY3JSo8JZjxIVyXK0lfcuqrqvctK79drCvO9R590Usq6fOdiDc
0iRHvpvOG1Dw5bOZ29MxMTX7bvSYJS60xCN9pmCIE3quLJaxSaQPI5l0df5yXsRDgNlOO41TVQBd
IfYVZtYkP1RSY8sKlNmDrsv5Ea1AVpcl+dIZ9HjXlgaDpDEY460NPfpzlRGp+T/sndeS3MiVhp8I
CpiEuwXKVxu2NzeIZpMNDyRMwj39fmhJu0Nyggzpem8kzYyGVQWkOec/v2HV5sjfZzrpZ6Zs/kWm
z7D6HRPXmd4xY8988nKo2M7LUFdj/562SrykRlXm8WGwlkoc0n7RUL7r+qguMRSFmjDGlhK3WPPO
QSOm+cHw5j6ECAeHwrAniPfNQpDWGhQc9KbJ5KrGcR25bXWlahqWnhV2Elr+pdc77QaZ0q1mqyuB
Ee+O4t2+WVpyw2x3sq5aO76L7Oiq1BrycV02UQy3+Via+UNnC2NLNQwnVMxfU6/ERnxQ3/LExOuz
it8JEk+wZ3VQNBhKXmB8PW7xrJoY5EH6NdKuQb7QYY3dQGSG83EiN9PfYHvmhgwJsGORcXolFjFf
ar4c5pAUipOTeSctlw1E94Z5nsT8/Ah5AFRCm0SIX5ENCzen+SyL4iOWC25Xll25e7Rcc+iL6nau
3HRrlpp/zpJYXnZONpKGwYZtstI4p9ghbxVe5cdl5kWaxqAfdbI4DqVbz7AXLQ8RnoZxjYUlxICG
dJ/orgxNrSTl2079g4qNO7jb/o4Jc3dhVL5VbE2e/Xsnx9EJ7cbXlqAErorAVPrhYMrU3TnG+FrV
UXuhOlyiycpQx3j0DQjOvpNzhRHQMEcdKWKj2sd2zJ3HBe4RlcE1hx9Mv80qp7llvGsERp93u3hQ
kP4T7LkC35tevTUrHpXCdK6mGP1fkecvvhbVbuhMzkzQ5cBY0SWwGe2tRx4YkxyAf6u5wcTD2wnm
eu5Rcr7iXMQhgrVbjgdFINlXl6Lo5HlcSBjAm8s8QjdDsJkk7KpuG8dIGKuaFTj3hn2STjs9LAwY
wzbDg8frqsNYbKxBq0/AisubxF3waM7lci8xao9pRX1CKG3/WKpo/pLm1rIZItWcchCh0DGLkuWe
M04akbx3KENv3E7kFAezQXJJO6K/lN6u0YZyC4N9CUbbAl/2rezZdRDqe/o8AirO2IP7g7YDC6wD
FZc3BSmjxNXo4zFNrclibDxsYiyoHgs47fsiZcVjUp0cPXhJwNGRuITuAIk5H7XbErPuK6NZ5hNA
11AENOYJzk4OXj/IgK6SaHEv/Kk3nVCMY4tz92p+WYokvyRlzjiS2Og2INZOey6WyHpRdGekRtoY
swNR0t4njJK9MCOD7LssV6tI9H8Ovt2MX8nFIB1SQvtn0l7YLziUpynYcppdCPTb76WVOfql0Ylh
iQMDfbP94g+6fhiTHIEuwElHOMrENM9N7OFrnRl12BfjWhfI5gYWUrFxmoGIGw9o6Az+CUE9mt3M
ZfmVybG1hvYC0mEtwpaWFmC+ttMDBlxRF2ZQBa9nk/yYJankVxN3NQLw5Jyv7wb7urVEyjKLe6gw
lkNmd6CRZmRzOEu4T2nEoJchP9wYPe+4cCSn8EdVFN5GQtG6lbm77oGcMsElKTbaxPaadZqkZdgk
0r5eSCq41ZAy83NTi9QF+kxvE+v4fZcUeah3nEl+nbAeltvE5iUZC7fzrKgK/1l8NSmCo8yYu28y
czN0VPgCUieXEWPkaU2Kogx17iZ64448m6aptiaI1CYjHOeIuq66KNqF7A+9GzdlPXIYtyuRqZRm
g1W+3XG5+2Wt3VbYzj+mJlZ2cUmlgR2pvIqXz2/hN88WAF4aIORfD2UM8z56otyD1HcpT/ymMb5w
DFbfLOnUw0aLHRIRKRNPTryKSMqWrzN3ct4n5CM/EizBuzMazatCtB/zPi6d+awPGb9fDeMmjrnL
a4qtF9kRkNPNa/nr4wTv9lNxNDt+wqojuvfKaf7wZpnuEfzW2yqDmG+kI0mAsx1BW2AIWxxzOv2b
PzQRxq9NhGuZHk0jzYzl/MKltZVmyWIemVY3nCXgWjLbNqU/7+oZx25JTu/GTyz3YzDn4ZBi5b7T
DPPNy+TTWMXWNrW5pjQbv1Ely/pyaE3xMpACeJkuVn7W9dJ6NUWeTJcyltVwbpPEO0ZQYDZgDCSn
TzxIktOzQ+yn9rVuJHILUEGdsOZgc3EvO9Ks5rNIqKLaRkEnWd+sKZR2O8Stc6fZ7vxRerFuk7gp
MA+zOta2IxzqjbEujkqxcBKSEGlgIA+EAmMvLcCCjVffxiU74LNGmqqluamKZn2X/lou5RRSzKhg
3jD6uRNWLrcEGMirHD+UC9LDuPsNWr14SIbHeNEweIdNX7y2loIv3BeLC0gUIch5GlHAcBR0PYos
mCuYekjkPpiZWiCybWibPWTMDT+oMh/rSBhB11gyP7ok0cdHwL50Ey3r34gopKKNjlehE0apA5Yf
2FQ6Z18X3Te3IP2HU5BaqtWTbDWiT/jFMYkRzDOwOwiKiRLKhZAQaHBJQtoY/UDXw9LGz/EJNiB+
vZVhh52tQQgpfUni88qc9RIhv86Zyndt2qd7NXCr6Yi5MProKeQSMpof+7R4dVvq9mUy5Is3FlZK
ZAfuTp/Pzs/h/WCbzMNns2u3LVyeo8GGvcmtVf2aJwQPAuEXx9726rdp1uo3AeOSOgu9CbR13qfV
e+0qEvQuZrxbmU3SbDlFRUIvbpfknBm4wkx9/dqvNXXFtAFXqR5wUizFhP8M4U8I5uLy2HYIV/Gt
sALuLPemtFr1qBt44CNdq9/sDgK2LqhspUHXsoHUwM7rSa8A2aORxxtaXvVYtoCSiql+66MKS3tM
pDz+GgSXgKWFPdLpqjKYA/IPcXJp3j+1E15JbFdHVR4Q47McqoSzqJENaAjTMuwY/fXoSnB12Nkz
2etFaTbP4+x6F8ZIewsu7V/AwGlP6exWF07Mg2s5uPYVLqlh7VXDI8IH2qpxTuHY0Hkz25FXZU5f
7qa0J95YLR8eu3TZph68sNwpvwyTK7/2qqfN0e342qjQI8ICXHXw/KGVthYs67eehA944KU1C6Mu
1ndgjaQTrVt1opPlIslHkmRIwLObSe2mtsTiK9OJ51ZDSke6Ng0phKdqk0yiudGrljdTZ1wBn2cg
GVAQouixZ/B2j6VKsUE/bTk8qrUZrAt3PkMNImZmANX4XIbmOmVleTf6YfoMgI7pNK1ubm4+O+3K
YvngdIOpikHH2jDHO5IRkh4YVJZhQQz6hYrw6P5sy7SYlPpeNHQUAD2rcAoAhTDOeZdLGnFiND7g
JMyXC9sNRwTsUQjLhPaEKA/UQJdTfttIMTG/SXKf+pCrUNXu9KVRA6AI2awLwW+MFKeFX6TDVKd5
XtiCNbPOezNyEmCXXLfJO9UIK8pYgtifGuO2Ktkx8VTa12bu2HdcNDpicGfonvoMdQdnWN48L8D7
sHj6sXmPMzrdTu/nh0pjm0dmWxy1tam1bMGxRicVnT47ZA1+f+B1btWGsPL4k0qTJrtZOOIsg4//
7JtdsWa+57Cfq1WTg47ku64va5niary+ouSSajo93/1zaeJHtGM6Wxyr2ohudaOoLmRtkuuN+ODC
67vmuTbALsiBActQa40yltbqxEOFi1Fiz+GuwUSvC79+Ja2URHG98S9Gl3O2HjHaxmy7ad/1ihzh
Mc9hMnSUrVsidGgRM/b0up6bdj2Gu6juzvilggT5qUutkbf864goMU2CHn2frGjj2GTrLUBh/Gp4
LAmxqO6baqL6LTGi+NpVkDCMdl0/JGIcKDEBgRx+Dm6bxfGzrPDwctrFeZXfloyzd4vgmnRcw7z/
vBuMHugNWUVy7XLk0++vU2m8O67dWGOE54++d9H4POFmzs37sSXxxydPArE2FYigDQkTJzPuJUGS
Qap4kT7A3HEu9OpiQZR9YZNxdYS2iRMP9dJLh3283LVLTVE0GpxmIh4e55HyRJLKcaHXBYLtErlD
xDn2XHceDEinwFR+zVD5hGKGHrDIM5G0xRX5a9kEkNFxmsiQ8hL1uzexQuppOUAMZNrMxt73GPIc
mrpgU8wo3l6ZzwAMjmB1VhpRovUULJYDm84E1CMPa108n8fstM7o6djnc1uL+Iluasanx1ydtcpu
ovtvrelLS7P8wGRwOWjMqudwYOJ+7eocb8nAPsp9i1vLGSS1tcVa03AOmsjRezWLqUyPFeO80ygL
wJv1qITSbW5bkhHJ2SbvrMCBFLRB67ZW43M/JLSq7MkWVLDq3fkS/pRxbzWu+u5W0bTv+epB1eRs
XPx8cSNCfveVtGxKjgY7oCMpURSPMk2uTbd6RUjAU/tk6jIRZ6sMOc+gL3SqUCIDn6lKsBfFLIVY
e5TNPnWLslOMFIi+CsaGcqKuI8iuM7HKg+KFz16+XOYmUObnX35uzLnMuGI0Q7XvNvlrt5JL5Vgt
/fRlMrV5RwJOuq/Hmg2diuYUuzaHzGCzsrFlXuDk2QSWS2ehEh7deTd1+YcSS+1sEYLw+1aAzu3k
qzDpCLCkRT+DAw4DfXNRexo4fvF4dItsPChPvCxtjEPsioDjViy3ynb5sLxW3qmP+voPxPWf41BA
uWF+kuaA8gXNIGETPyL7qib6Gxfe/iBSwGHc35V97Tq9uY37MTrNgqMt8Sm+4Z1PX9y4LuFq2NZh
oTggj5bepWKw31nDfK5G2TwrxK3XQ2pODxwJy+73tbXB/ET+OPeAfmOsogQobYitfvqyHpk77qBZ
3UFLCTDDjta5myW9mG5kDO8VjQloBYUoTvnGPTJoSiugjFNOzfOWSaDVz5f9+y/1yaH78UsxtTaR
mvGlXPHLbCTGWBoDobg7YI3dsNB8K9p0nmouyMEZ9i0p2LhMFMt2tiywiUgBsmWSt0usOZ2cGPLb
bGRRWWsiuIrs+hvTUffGc2K55ZSlMNTausGu3tY2v//mf9OpMJv+fPtkg1iAJT++e+aceR3HWn+I
NbM5RT64Dcg91WOTNe0NdntMIiyUXQNn4ms3c4tUcKsjyMz2v2Yv/89A/QMD1dRxCf3La/uFgXr5
1nVv74nqvmO38eO88vPf/Ne80vH/gQ7XQRFig3bBKGWC9+95pbXmwhBIDQ+UUSFGrv87sBTm51QS
0ZSLsAOfTOZ6/2fXY6IfRvTFwuY2ZAD6HxBRf9LH8EcbLvoRDIGoT/h2P60035odQFFN4tdcfCS0
nHvNIyMdzsifNKZ/90mrxhoVDgMvzoof13RRiUqsbdPBM2EKlLp8lasGAlKA+sNM9O8+ic/wLQbF
mPx66z//i+IMJlS0tDD6Dv2IxWOk9OtugOboNMvjX174l1/Hon/zQexOEw0kH6fzWT9+0OAWtNDt
Ig+k/H3kRf4RaelHxn//Nx+DEstweeO/vKOe0VuX2JPkwEE57nsMFz+V4/mU/hePjrWKOB0vVkRF
n1LMvz46XD1EnfCLhghnyUkn/iuqkXu0VfaHH7XeCH89nFl4SB9WpSQyWdjePz07dyiZofkoGJJx
zJnLzbdzPD0a2vwoB4Syv3+CPwulPj/McpDJIlpCCbZ+mb/8LA27OfZmjVxi1Te7lDQHlAIRqXHp
m+6BVqWitQJyOfv/fCl6DuYs5Mehzf1FnOu0NagM6OWBe6W+U6v8xva1/FHL+F+//43rA/vlgXLf
cSqsNgPuT4zyRWUK8UYpD5pCklsyJ93Cqo7ufv8pf7fkYUr876esGNtfnuTKsBg0hnoHzZ/ss9lO
j5h8VCcY0P/Vo/vLJ/10Xox5mdQMxFkghZo3zpS9LRgE4bnxp+1lrE/mhydHqWVDm4K74dgMKn7i
UMSKiSdC4fzQO7g+2FpXo/PJYiRN4rlJXdJhLMhUHsjszm6ZkMI6Ov3hqeq/PldkpGsMGJoFYeKd
/uNzraPS9spalgc5mKTV6oMGLVFS5i6inPHs1All8lsDmrVtH/R2qjeYj5Av0YjqBDXDcaAIIKQn
xQqBD7PA908k281wEcbvzNgpN/+YsWQ/xosxXEqXVM1WLqvGyaeGqSX/F9h95RbEy2RCb9kHd2rK
m7n1zafcNeujTTLS61BSq2OVZB+i1fymnit/P2ZsqZzcxBjMF3ZdQFFHZdLQZhGDVG1VXhAqQcNw
12uZOJH3Or43ERcNZl98d8fgUzJRn0evG7IwcUk13c6iQPyQJ8QldnwfzfTRHEX86Hzo5Y6QdHnN
LLHe9JiiO0B8UQS9V5G7CZLe+3snoklsdAZyWQOor7VSC0udX7eUnJ1lhs8m/AgTDgfnW4IR2tZx
uIUqUMNdnxA2Eg6+YZ0EhuP7jGbzbOh9vfGwL9h7fqkh99NNXHkG+zzFRvYae3Xx6IwMoJvOki+N
U5pPEb9dBu4ITChLgcTViQY0Wokr/R4y3sxxM+GhngYasMZjN3r2mf6zvEGa1r9GPJpzkjXy2lHZ
h27wTlXmmE+ll35M3Rjd9Q5qwHE9nZOuq9cgKqDDls6L5etDBfySIeC6xbtLHLlUevycmNkPcWEF
VCIp7ZipqlMaWx5jKkKsr2JL+teZE1cfEGmNK6POeIiqsCuGoyM90ufOK7pY4J4Qofh1eGQ5HMin
SCVZuIiEEKlGxvfIoVe0yk3zV3+ZuOUbsjsjHG5hGfQwBHFFap1inzKolJcGEKu/QdI3PCeRxMGK
mSkyswpTOGjrgGcXWp0uT55W2fcMmMoPGMT1id84bysGvwGcpeYgMsN/rNnc9xbcvSy0aVbTsIWh
k0NAT4Z6pybw9XaSFsZVq0yuj6bcxpdHEr6JklQLIS/4j13Tsu2EvmjhILhlFxxVafzlQPxRMcrk
sa+0eNgrr8re/BGCJobIwyXsSWhFqT8U+26IJlpIf3he2iXf21L1pA1rrZnuMmnZy3aBP9QEsKJH
FeDbhY7Rl903c2FvCY3Z46YY7e5hcHv5QiyHfXZnfHVKMGEbP1H08vDhUuaQY6qRvMObsJM4f21i
szohPamYJXRmSKTLB724D3XIsbBLWBCsxeW80ebVhiWBQXEVow/ZIgjx9xnGrYGyuH1x0wVH9mgj
7MSP7vAaV/kmkVPyvZK+fahyB2jZIZ/uQhjqWXYz+iPMotvAVyyEZfSqE1TUjw4mVNBoPWNQo0Cm
Gn/vVetuko5cqsaE4TB8VcmckgPlgJhG0sFLyXNvEsWmZN49bUHThsuhb/1tnLPPBfzaAClq/uQR
H3/W/WlXLkBV8TLJPixHTHtgfxI5YPUFi5pTEa/DAl5LRcLhtUVdy6SQXZ8rBELDIMn66bJ5u7Sc
buXYD3tjvfql4HebZfaGK7p37RGHjG9s591YA54kNXyd+wxd0AmDdT6NA/VV+asLUjHXm6Hi59vd
wjYi8dC/7is1vndaW8CZ7zhzEpF7N4ZD/KzQsYu3OSjblvPDSTT3ZiEuPDDbdt5E0FYjaNTKu4nq
vAUIJ3It+Cz2lN82+0IvFTZ1GYeYqeqNg8HFhkyw9pBi6APTwBjfE7s6yqqoMJMnj3rAa2LbpsW1
Jft6l4yWx0so5XXXrKU9+TrngoAFTvImQRZTGiLMCXQK0sgHVnPAHD9PXXhyL33uGd/1kdNqWNeI
jRT4Kkf4fUXMT7wbZoQQLqGypINpvX2VxfauA04Nh7pFimItnIi4JIbD4tQ4ffKEFjeqiLRz25AL
dwwVbxhCv44zQMxtcD9I3MY8p6pO0aLKm05x9mgxp8fos+nzoeSZw1beoTUm5gzHsysrMvWvvoGM
CtQRh+taXXv5GgTv6MM+w6Jvj+JUu+zb9NpKreEZI6Duep6S/jLKlqdUt0YYNDDhvLlO92Ix7MPi
pwuTFQjhUmujL0X+4pI4vGEG/FHHURziTf/Afn5sBz0+mF6tbZO4bMJet+S1mKFhcC3Gew73r5pN
opnpcunlPrehlibFY1Nx8rYVJ45eenCmdEPW4cIrJWxvLW8c0ckdYjtjR/s3BrkzQf/xRIUwgzi1
Q2naot0z9wlMphLkcnbEmTH2KTjMMvpM/DfNzC9DCIL5scJcA9Mz+HxBRU4PEe5Dg3FdIa20ZBbb
9DoMkbEpA9xjHrrSLE9jY5UnBDK6ZNQCYwJpgNooo5zNAkR4ql3nPI/mRGoXOH/L+Ve6Y3TbMNgZ
mZVlCb7RWKolJ/jvuOcF2DAN3glmT40/i6NwxgppB1pFXprfuh/dTPhY4A15+R1vO9gFaeweJ8Y5
8B1nv11BS1sHe58412fPzec07Nu+/4IjMiz5TCgfSZkXZ9teJq0AEVFrblZndK9erueQmqbibsys
CUqj4YC5Ut/Dt5DuPJyqArP1VOpfhacOxILCYZjRDwqMn3emw/7i4BhuUDRpl4ZFmtimd/G40IQ5
79mnphXUGQNrhQLgYDaqZzwUveWJnW9dbAW25spDg4xuPJc9kZVw+WvGZHGrb5CoK0QmhBFcsV3j
97hwIZ1gTqAxjZl8qltNO6YT6sydG5ecb8Lh+CZ5SyF2dJGBjsIvbFINV28fhoOMLWd7+IO3g/VL
MboWxKTK2ETTkjHxcxcop7TWPKHyQ1KW4qSGrvyoLWSNwdiPnU6QuqC0IiKAx5ZkRn+1qrsC8s5g
1RmUVfD23ri4qpNnglHNJq0O4enwUYtZ2Wdhwlqt2qxllNH5W6RGDEp68LVDHLEHrYlOaSvcMrqz
hC7eLGd1ofT5jz3p3e4NZD2O24hwmEc9TbPXzzOwqvDpCsclJzP695X5J9T2U3OgQxAnScQG3kT7
+2Nh3i1EmCscDg4A1py95ohGCZ2/G3gtNVNPmX2Fk2YCAxHB+D73Md7k8LPPvVVCFjL8P/XN0OV/
blZWLjaEdQAjsIef++YYqxQ8W4pDWxqPSme0kHO/jC7pK4W6jfC83f3+CfzSqLMYCF3hkz5NAH92
IIP4Y5cxE4bD0FCQVpGKuKwpTaoqqc+amOvj7z/P+LvVx7iT+SGeRtYvPipVS7EnnLzgcG1GLeDE
rIndwO12A7f+rdeQsOQda82xvfHL5xU8Yrbp7BMTfT70Sy2MctyG66UZ9lNHjfP77/dLn40GnAAY
CK/sEJ7LT91iPzsjyYiMWH367b2N6vaMaeyf9uAviMVq5wSRwiEQx3QJcPxx2akUg2eHsOqDI6hc
nZhTo5JOHzZAw3Hg5DU+HhmVO5PY4fn3P9D8tR+mPgA6x0kcgrP4uRedjVwMbTEmB5RDccQoGY6U
Rv7Ea6moS7saX4lrH2/fNcruMSct8EOT9rjt58GOwx5PC4TGcYs0pymUZzGvkNRyiO0OFL+QEqCM
fWsIGO6PGm598T8Rl//Hq/+EV3M0AZH8RlqTVtX3ru7ffsCq//lv/dsyAQGNtw6cMJBfQbm/aGt8
9x8r6oy65dM9/tN1/t/W8v4/UJ6wXoTN7W2ybv4Pq7ZQ5JCxRrcMMc7nT/5PsGoDpcmPp59O6jq+
BC6uj3xBHYOGH7eFxXIve1Hp50rX6qQhCJCg4Q0MlAimszHJbS4Q3KIcHWS7mzScOLcO3Nvv01TA
NSmXlHxDNXeXDCWFX4MWUAROSyHEo8GlTCpwZ3yFaxQ/lBMsiTR27KcBwssl9OD+yzLCfd2ldWYj
JaGEv4xH/mE4OJMv91qW5Ie2z6qzmzE9BiO5Kdre+qqNcEXP+HdPsLkdsyfCBDLxg5VHyr3olmaB
J1U4I1JPUVrqW/Zpd292E27i5Jgw4NstMxTABSH5xmp1C4TEUi90KSNEXYXq5DK3Uub+1Kiu3OW8
2zvY5aUTWiad9FYWUfpgJCR6xgnMmLBNMwxpUUnBSWF6decIZRIK2id7c8q+FTiZbVM3XVUzTYoV
wmCaewLe7mdGyl8csj7JqvFn6xIGZ1QiEmAw3ldW3wZ03Na2N7S3KRcTHFnyLeEguVjrQGTekva2
hkgzJd5g7drY24Xy/xYxv305+Dh4G71yjaNCSo5P4uJHj0vpuXfStaP7tp9N7wi8aGkoRaVdQHkQ
eNm4xJI8D8xst2RLu2FOKcMzAKdr1FSdHDSI5166RAeockxXL6gI4cc8j2d4QLGHPlAmW5dcjdum
igX5m1EMKJwbsKb7Fn9Nsx8PczYu1Qa7zSEJRdRkO2+OooOoS/NZLhYspoU8vXu/cAuBDQZX8EFo
ulc8pq2nqgfkAVRXW0XJNxEaCiO76/amyma9O0LNQAZdZoVNOnTcMVjmzZE4ZduFvy07EZoQbci0
ikasESLgKdCGI26/t14SfSbJr1k+9YhLhQ0bWCAohUbh9wAFjFaDYtEsAsVsE9L8Eg0waz1JUJV7
n0+whm3zGKv20p69jNjiJXDT+ko0SxMypd3D7olObl7tKry8HkhEvZmoRIKWj9nRdvcBAOCLoY/L
znXTaBcN8x3+w92xge24hXWaXTSlhpjSFvmujxrz5GuYUefU5NtOo1ksxZSeBOabu9Gr4QMX83LU
G7am6RTmgz+br1XvwcYnPjXIkl6j28qGXV25fX9C2JcdUfZ+bfFfOrWpiM8NXs6bZSn1LbzgPYbj
YSek2okF2TWW7Ju01KowbjR8JiST6DBOku82ZACAPgju+DUzFNLhzIgWejRzOAigao4vKnuqKFln
uWdUftenWhcYdWoEGDMjaW2JOuTbZ+fMnlHHR1gjH4nEUN9hYcwbLyFozGWzHVDggotye1fxgnCt
aWjI7LvGKm5zL70gagiIROnojZb71On3td4h1sVyovOhdSylieJ73sYwpdvYSUJvEA9d0+y9ebrM
kCzAwlTTjhDxfjtESxcQW/To0HEHI5lQG6MsvhcCGpVZjQ5QcaLuUq1CzWwYod9DK2FqzSGYepfk
RJFCVk54b3s+qUCUnDc6YpBtObUVdvLDyNqSnVHxPpy92ZVdqCU++a5t8b64M8EKpu6fHI7Lk2rx
GCcbLrtK/D6DMmElG3aFcRMnzc2Qdds1jttb6upqIuv4rVhPs1xFrgRb77SzJJv8NjUb51RLLHF4
YZhATdKn/06eda2DsW9OHxhtGIfY7Wj90qYIoIfOoY3V+4lqzNp2HOs3vTXCNFsc/5hn7m3ktDcE
B+g7jgnvXGOp44YdWblPnCtqYxJEPwTS6rOrzFRD2PR5v9d5UTu9bhQe4HZya02Tf9lOOnkQWr8R
WfkCvdEMMTEHSSh3FcK0YMqwYVmq7rZzSI9e+wHmjtkOejpRP1ot3kgvg1KbcDsQYg385+/TrL8v
wNZ2ZrlEd2M+XkqtacPJ6LMHV8sebIjCAfnNb93iPzsxGgn0SaxjJdGJFag0zHEHHepYO9neN7OI
p9iIK9OIm/3ote8VNj5bu126g96b9zJycxZwTmNaJgVuJs2oXyWGdat8eVF0yaOTmzA0YUPotSCe
GCITUPCr8EfM6gX2KutZKjXvi9dZ+y7NptuJVwd0MMQoD5zFe82j2HgubM/ZtJbLVtME4B1pc7Tb
26HJT4zm+p09NOa5RYoTNINMCRrw6yTM58Ijqk8tx6TuD73MTkMa5XuYRCmWDhpBxegsuMyKcIl8
Gi96YESWQol3gZ/GSvjTvKt50cVNUq5kN7dtLlExaCEJa/UWBVjyVYLHhKOpLqYUm4VqLB4MMRwq
dCj+sHCxZj7wc9vfDTjHMvIp34epOvje/IxpRLEd+D1AtnUeCttNz8MMrZf2aycgiphhbNvL1QT1
EJ5y1MgNPhLG2U5tUrk0aw46FVsvUa3kLeSsvAo07Ozl1ss5mYbSqr7E2kCfX7fQUXvuNULXq8Nc
E3FqGIbcVUqqCxPeaJiaJvNLpUPnt7SHRBvX6xkyek1YmubZVyMD6kfiLaprPZbDtBFzIehA5yVT
t1WmeUe/y5fTNFgPArudrxpx9/EhKkmT2NnuaHWBVRhjGwhRw+zlnjW3Q++/l9rwxUhckBcx9red
XX0ZK03Dck+7Id5dXTODfurIcQNmd+oT0rEnrxPFPbmLJ1MjLgSr188os+aV41UcRjCYt2wx2i3J
Me3RmjRzm9VDsnegqgWeJ/OwzAU/thte/DjutpXuaZfxMOaPDE7GwGdC8OEoJF6K4IPATqzijfDJ
+Q4UkugN5b1YuS1DdJ/uI5S6dKNFDoYYbpLdQ77VSaDAbtZ3C/Avi3HSJNZNxAsjx3CyIP55kCkz
n68Xt12JXcI32eZfZ11zb32/Gp6sbtjqZBdcMWqxgdO4st1MGqAwaSsw5ZGtCKTeFmdggxoypBLU
CFV8aZjFoc+jnFQzF+KY8utb4iQaKPleom7Qx3mHxXWaJ23xD3U/T/cDs5ad4ad+GvpocS5Qh35r
cu+d07lgBuj4G1zv1EOaGWensvy99MGRbWJxtsDqXBDYERITBoc0sU0MK7U6M8mmsMgvMe3mIsOs
Iyj6br4omXUcxtqYUL4070VcrlHwRYouRA7GHQdkR8QOxiZe4PRjUuxFFZNEUYqcy6vTqhd8yqwz
jGV7V1ALPq5I8Qx0WHgrWDZbd2ViGV+xoCQ9Pq3Qfy197OO7BF6M4dB2UTxzkzENPD2QXuZtJ1ct
GkRQkDIL7w4aldVNo2pRTMN135RUHgwq0iHGNyky4HCfW1Ildnk5xHc+gZOtcUmhFZbQxMnCPALX
fMP429k3sAE3ZS8ZfcAEJc6jNoNlsv2AS3LPWzvZmegD9GxyU9R4gE1CvQ69AF1fpAoq9OQEFwOe
t1HD/ZfXaMArqJyR7APpGcXB6k0RJG0GsqiP26i1rrIksx5S4bT7QpKTniYlwUsYEAG1+wTzYKo0
NO1tiwXVXje+KrJCdyT51dusjB7w6SyDojE3kSYsJmRSbjq7BSnNolPrzNXWbYoDNkjE4DD2CbAi
N8JaqyQ0hmFDIkvDcZLaAZFTAyILRtdLnryOfn/hUODvdI9HjO7hAYiu3sIOIkslLc+jw0QgMzxi
hyZKQ9KAYJ3FruROLOpjXYtbnziOPdqg96JSD+SQIDx2lpu+pE8xext2JclRCLT6jRRzEljyf9g7
sx3JjTRLv0q/AAXjTgKDuXCSvnvsS0beELFkcKcZ9+Xp53NJXSUV0INqoG8GGEAXylJmVKSHu/G3
85/zHbu9aO08YtfVjBdimh2Ql6p6nvsO5CT+XCzmoFFyvSXLItnspyDoKSCVsEir9ZmFIh0yNNsE
mYyzr6LVQ312V/YmvMvn0oHaYxHonr342dXLM6sM66a12K4OTf3N8It1Nu0iPV9lQKUtUBNrpByq
S7drOVTPrZVnYcnyc8sG3Y8si2EHtdLeLFpeXghDG5sFC8IW3kRz43jxh+joLfSLGZ1pKub7ZqE8
yu8cPVhKl6lHRwwUKr+p52W4Qf8NKtlMwdq1V8qkWG5Q5Y+a7gm0fsr/3HGkssB3p7Nnul+S+wbp
wTfDW98T5excvRvOXHMXXoyCLpL1EHvFGNHjsyvTb81rBtA2nTjrXa72TdHeNZlJQDPleEwbL8Cy
LLZKcb2lfsjckcXfGdLW4XvmJzycPEBzwRrVe8a/am7MbH2f3eEzHpIPKemd9KR5P/QXV8bPclx7
DLx18lPTCNAMOLOxCAPBMd3z6ns/PMUiyvflruDhuCGOTCgd4zU9v0I/g366z8ncBVqXi6AfVuKC
BfEl9kdyYjzT7sjKjd6mqOaVR0Ie89flSdBQ1qDS7eJ53aHlHfxzadNfZoEQaMbAvlLT6FpUcNbJ
OOWrt1LmlYyyTK9ueGRZdAxJs2TAkywe4Q7U91Nv9PtRm5vrnrfY5ZmWtIEyCA8FkiXjG6IhxUbg
YrnkqOZ5GjyYaGSdDkzVBd6JtN5Zfm1t1bImJ1buzrath6elJQ3ZSP/W94b8rs40/dvOuuG0pplz
JOLb7o1yKY4DodKtPVntk1WzVPBa4507fH6BScQFPxHg85IRx7dMzubMdmSg8++CGkv2c51hMUmc
FPnIbWmEILDtfZcFIiGr2KxpyalNK0xoWmLLjjSf0ZQbom1oAMEps7UGCtlUbkaQC+NbB0PB3i2X
D5LWVKsaLm7xkleMofZSD2W9b/PlYLfjummn8YbCIsaKLqW6q/ApqRZZ2HguTVlVSo2ZsmvGoHYN
p4Iv3/ls8fjsJM7MuMetf2sZpLL62WD9AvUViiL0AqYPSjbptiurcctxZUec5gs/eruOSnwTOXIu
lynvYcg1a8dVGMXFnPO3sfB9Jmk4kBce1TyFJm4LN0vnn+qu9qD25QTKYtemQBnkDz4Q2G9Gw+q8
E2imZbbvCksPWniOG0zH4tQXTX/spPndrMThffa017uFsWY3Oqd7NJOcustbfoyyINjjF6AsynIK
NHp4No7M+rCgAe80WTlMNuqgClldEsd9Ac3ZQbTTm2CmCHnTzfO21sUumdA7yt7mLmOnyzVBypfy
4CtlWf9rlYrupf6yQDzetEsME9ikRY2OZlJjdVCRYmDdkvLXIydBOiKgjY1T2RbxPpUlDXqFshla
luPEJzWAOIchYug5I229Jf8+foxu/oHn+uBZzR2JsfmQdYsRcoU8cUS/qHisCWjPEVct3slwkYN+
7Ngv6XQHr/pg7KiyRkZZeehaPSxupT+wgYYYNUTr6BQB4dHa56Kz1q+NpSGbTNPkbQ2ovJydD8aS
LPyNxj4qnImblzfhmuI62GsCZhnBGBSBUI+z6Zjift7YVv1R99K/zxONH6Rn74DlpZi+zPXZ0607
SJGgFJRuEH0S276zgRm2be4EDMoa+Th3Afni5k9VnP7y9OamW41T4Tnvpm7AEX7v9Wo39N53e81f
CC9jl6yvedBVftjkdaDnKg/ZFnyrvi0C2Gc/00ZLo4ZdXXBd4xeGlIgqHlrJmvtJWNdoAaClGFuw
A+Qyv2tTDmiK31tnDhSu1FtyI8ZRY6ZXSOElDYkjl/KxWVp+E09yKgKJ7wpFy3c3122Y9i6JCOek
AAlgYAmcfIZ2PRflsEXFobOkHOxNsepuwxN6aQacMWu7s1g2+5QyW+0hKxuQ0ZxqPThEvbUrRuOG
5erMRN4/aWwRu20FXXXZtloxtYEJlFyeHO4IC8eHMWBSsXy9IYTIa2RTedyycVjEeaA09KMrZrfo
8ZT4HYrFH+uU/2m9fvdL3rxXv7r/df3CnwwXnHNp/7///svuj18nv+TVrf23X2AJAk91P/xql4df
3VDyR/8owbr+zn/3P/7Hr38HcmWyJWSn9V8r8U+/5vfuryr8n3/iTxXev9rCr75YqmKRCIEu/cMx
ztH/G+bpaw8QjQZ/2ML/E3HlILWzjrrWWbEXpcX0Hyq8Yf/m4TLnfoUlyr2K+P8tFd763ar9l50o
urxtGSwhDYtviPqlKy7qLyZQ0Wva2EgpDlNjtK+jZoGpK5dPbzZKzg6tiVINbuZcXQnxk3fpOjX+
cMa8eVRSe2zg9iDWEH/kobJeLDloh4UQZAzNFE77QFX0++BesXQI4Bi8PNinCKNG0t3Vrr2Y95aV
FQas37rU3QNXSc+4YT0s5HPHyDwwfRSrNMEHsna6eKoVbh4A3ed5SpZq7CsLtjfPjS2PXuEi/Uxt
2zyT7erp5HbrqtS5acwO+HyDQsKIiKTVbdPSMtSx5z7NZxnKOSFzHGQUYUcZQVb96MrFeLGWpGsK
bBy6JB7GitzbeQZdm4cBkIGIUZ8zjqh40bSB3lW3GJswlTb5lzr2vhKsp3DhEf5hm7Q8NUcH0IWb
icd5bXMV9nwLHXOWNE6eMNcOj6afnuJcJ0E39RBgtyP9ogyJxE1xs8h8XyV0p811RulAiUS/x+7l
RRNrmjf2dNaGeHuKgYiiPWhI/LCG/NKwMdjnxvSSy8zcgVHCMoF7Zg/jOGXBUCXpazZn9A0sY3Zw
vfkirZZmzmF4JfBfs8bo7sxq5nFSj9wpxsT57KmUR5Se3lbwDMzXflDMWFDn4mUee3wrvp4f6Tv5
SDLZRmZcDI8rV85NvWoc2LykGqa+DVfmade5qbv1jHpn+GCw1+wFvfhblll/WllIbliK3qxpw8Qy
9G+y6o7wCOt90WcqdDMTCCVP627BcaYUTte2We8w7chNYaArCC3jNk0klVvkL5yNzqVyAPBPvnQ2
nZih+wzsvDvCQ8UyIJGPRNfndbw1ctPBVgaVJtFxhLEDTs/xULYXrycR7NqWOLgyy4j1E0QbSGxy
HWi8j2wwxl012tkHFKiZDOCyRMSjtYdEAe2o8+QX8DJ5a2v9o91nWOeqpdwJVWHiIXp3NeM5myET
FALIxWbas4dtT+HWgXMh3bZEh7aAIKyAALq/G53pl7SL6tCnGFhjzo4N3epZHYAZ+pCmJYORRQS8
FbYIkE+7UEpcMF3do6nCfiWWPJaRrjG5e8b8pNsoKG2Je72MD+ta4+/sFGXpvfZqL6xX4MTkx7Sx
GQsUdkCTJ93PYXXhjvSbvIDhvenGxiESuIjiXI3FcHKcnk/80HpNaFqr9g2VucZqhp3f3kg2gUnI
lXpdaLWatb1RiOEBPO3kPpZWoe4cYTAjNXGb3Shs/6CHMy+KXeocA70c8qfOqaiwF8ThkVqlcawH
rtXBQsK+CXljFeD5pv5zKImGiXgc70Ck6sGIxwwT3VXZgcS8fLGHESJKXGs5Dn1W010yLZO/QyXO
5kBbHDEHDd8tAl439d9607BsSqZYbVHEh5Qq2c7nszb5zYoHsFHTDVmg7q2zebcY3AyJ1uJZEqe0
9qsdBFcVMHoYO2HgmGoKsodLzn0wlZwSM0ZoKRItoqxz4HbNBYQBwoxiZrQd+GiWXN76Y9Yt/wWy
xXxT5to7H6lXplvoYmUhgWD3x15DI84FCd+2NPJTrWVfcee1YQZO6KVqc2A2jrKzi0FSVyf+Slnq
qlf6XYMs0ZRG4eGiNf2zskrgO36/xdM1nschUw+W6WuPhdW570ZlZyE+0yZYK7/NoeOkfIyn2YA9
BiJgy9AhLk68yIjcZBcmfd/fIEHLiK9TUxsrll17/dQiBDr3ZMNNiF0sCbWmTHduOd6VaOl0IXeo
iSI1NjFFITxLVjJ7WCbuwWO/YRmx99ZY+Z+t0d273B2mTQeEYQ/D4IcDFmJDxlyLEMgOFjn/kJy1
aW56XfXfsbSsKNd67YRZKd1646CHtVj9SMkZNTXxki3sCs4Db7nJJo+grSbGy5L5ALKXwQ0z2gc3
c5fz0XKNIQImluxSn50omAAv8PN82Ci93S1cQzmD+4s/cGqxTVw210K5gKLi+tAXlr1xpta+gpAf
BlzV3JxZ5kpwYCw0pb9vuB1qS+MfWjHSNavPgjnQrz4XJVEoEcK4SmoaAdeCiZF6l5i4vtE9+Vnu
h1CVl7CxSp/cc3PwNR8znaa+58Z9rjJXRqsPREJ0inKmxacKG0U4SpEXtsNQzSC0mq+RnG7Zx8NJ
h+fDEtFughKD/y0eInE2Zn6wtVjy7ZT14rDatrNH9gROoGBTjwzP8ATgOhPOx0FX5CU2wYLzrnF+
rivI/dpz9Sgt+p942ouTrWL8Rgt45tjk+s9lST/zHujYQSC4kpD/HpzS385q/ZmoKy0aZ2GyyZlh
LzEBfYPitetFzU8+4L9O2HZ78BqFEQcpaO+byfJGHu4Ge0CRvEnd/lZ+8wuHZ7ktbQaGcbZeK3Ki
XIS7BpATX2ptLeb3Ye6/28FiCdRhJLSu21wXsOSdtMv83jekOgjPWM8Ui/AyuMXPoYpFyGEqObWz
8RW3KQ+M3nzMoBIEtAQPFG17nOtOVn4YdW9g48RYNViVs81Hdwlq9qjbLqdJ19BZ6/bLiu/AXD66
FNlkNByuDz7fA1Am6MV+471AW1zvChAxvKArgSiSBwg5vGCKb3/si/yNj33RX2Alek+Ny4VhMsXy
iNB6ALDJPRUy4f3QldOdjUX3zc2dR0Im0CzK5MYyZLc3Cf2bQPVIINsdqs8mzVLrGZw1oGQbivrS
e5G1xo4RNJ2b8JMeJ26ETbVAdyddESTS+LJrkC3hws8Zm7cub0edRalYZ5fwie39xOAt3gYxf+Yq
7m9XYWp5dJVm9jmWjlu7csaIaxyrWkso5CDu2IFvjFfBwLZ5R4jqofF8+2Fi4y5wI48aI4ZBXbJt
deU3SwvPun5QE36m2P8wjbits1NKt/nI1E4vsSv5K8kLXGDhkpiPOKaHAG/sGeNa/qMjqfdRJ80R
oxRVFblMk6BJzK/S6ezHmpr1Tz3JucyuluNfa6IHijwmiVUvK9J8CGd7mT8F9dmhkkP3uE5tc6Am
3b2MqYZ3vnbuVmD8kNZ6Nxx5HMx7+qhy3s7O6H7FictS1uhcAIZ29mojYJOmyGwI3lMZ0QOvAiUV
V/e2catIUlzx0ILPyIKFl+JmLtg6bEQs7Q1hgyEJ19brq3Ccu+W2Jga6S/Q238agP7c0vhqR4vva
9a2j7XII/9WuccvsldOseOURN/wop1k8Fnkf70XuZgdhT0y8MVvcph4Rp1ie07SDaa6E1JjlCz5t
nBP+CjbC1ww+EKmAZE+y2j8aDZyhlCL2ArG2VqEzJiJaEV7ve6wHr+jWw5etpnHvddJnk5v3tzhj
22dp2sisbifzPjQbJ0RWInvDdLW+0BBbIedjvZ+eEp0TNuCeNPgh2QvT2Vgs7McIR0xfUKFsVVVE
c5/zPMXUnfwgGpIBjvNmnqzeYPl8EFsMEAt3/CSycCjeOGaRvo3u5GgMK8NjudakOLq01i7ALrM3
Il31tqVAwwqrFYrFMNQizOk0Z9NhFRpM1WqqXkkpxfcjv5XqdY7XtvIfp4rZmCqk4aOuahlqqZtv
nR75sa0ZSct6bPpNT6/tk55O6Ozs/XaTVxU467pmu1SIRjJpykBpawlZplX2dtLr6b5EtWtDe2Vr
m49ZEY25jsxcr8PmKtntB3dO7gyQTcsDbQmtvJ2TFL+In8yiQe/xXIdszxfd2v6CxwTalEF8hXEz
84aEYEQzWY+yT7CNcIwt7OTabp/7aeVvpnwZ11M5WwQfulzHk6KQPMwu5Ryd2VYwOjnmvk/xWl2L
IzB0QJNy923BZ/EDKyYsKC2Pk3M2juRLeAu3eWTQ34YZlwRRUGjuxOnTt/I89gSZh87XH+am5y4A
rGy3woQKR+rjjg3okANbz5yYvJmd2QtnQWwM7ncFnQPiSoF63GZYuHZzpZ66wo+zN53a5qBiC37p
+TzCkllXO3TARvySnkr2zlAxgsNAYSNKhfjLmk8ior1itSK/oyymM7r1XTBYnzD42/gXyhvpKrGT
fNnjajT9vVKZ+gEtCCL8BOpwZf0bGJWlSOLoptroaYWBsuiQdQSsDNHQsDdTYYCmmWPbsZprWZqO
M4QpMqL008dvpedRwrOO4ZyO95mtNqRN96DBJAslF/eHPsn8bUuL27ttzda+Klq1iQtOJmgf4DAy
me6Iho1ETIAQERXAmY/fdvoofagJaOy35pz6X+Szbq9lCpu2F1AtDWPZw/9tGKWG5ExROBtAcsZT
xPum2SrCohEEGO43vCnFRs+zNJriKo18amq5jaC5wWBUG+m7FQwJ1m0ahogA8woyr8eqMoDLswRW
TnEk7LBqU/uudtub6/KgMKpepbILhoQ6sBM6BpnAtTIqF9w+SjnWJY6zjIO2Yd9NXMMqOg7+gY6f
paTxYm3LCmRKP/LQmZb7tBf+zTiDhszrzNkXEFQioxQcmHTuHDOh33ke5SZd180SwlnyDpYhD2tJ
xwWDXePd4Dtis1WJAu04Zr1V+uZbgq+RJoAOD3zFJvBNU91bY7rshkZvZ9kzFCOpxi8x82BlBb0e
lgrYkc7Fk5J7ux827GDKABMe6oObOCHItHfslmk08tPC4zP/UB6XiAS3/dp81Xn5o8vZaBDzEzIa
+prtzGxihcRbScGZHx/zrLPfCxg09KkIsqPmootAq2caOVpUzyGx5uaMsaTm3dK5O9rd3MBorexc
wua8Q38QIhysefCikazqTdczbwOTNMLmKv/ASlZXvGBJNgw0VJJ74tdUc0XLcXPt0ZOHcNIa4x6y
NIqAaj/7dO6PboXjkOohF4V+CNN0UQdPOfjS4NYdDbca71ljYkPLmg/ua4xiS30NxEGYOuCSGAsQ
dd3yOvZXzPU4XUwYhi+MUk+Z1lztgr17Sh1zCpp5ZXAExBlPa9PRrKS18GqGn8ifF+wJlAbkxkuN
oh3ko8Xex2lJFmDFf01nHdtA09ahLzwQb0QWnlgU2IAVC+NUL+kZi9UbpsMOHkD62Dr6t8lJup2o
R8IDpurHVBpv1H9ACxpr64vimTYUyOKh0qqXmbzPt4LDCWyp9mivQPVg+AYwiczsVA9QegW2U7ql
wl55RHFJf0L6G0e2p/4yPeDsWlGpvThGduqnaWvDrc0Y/iudO85s74rB9B9wQ9qsrE2bSgMaXN2B
GMPVZrfwGXBE0R4N+qGmNUtmrjrxVfpX7qXIbXU7IjMT0Sk0Fn04EtiHGCvB3tEr8fYNIlU4jxzv
wL/wn4ra+zYS48HKJYeHl6VHX4niuNg8XOlv+IwLNTS7QiuSaHYwSbguGS+7nI9r5mKSEPpLyyMp
KGlN2QzGVQuEnRYs/uBuXJ2lNp8JprxMt3eGzSQMnuz3VTC4tX0uh707NoRyMbvwhg9KYj6HggxY
7HfMOiV1MHnjHhV1QFvQtm7kFk55VDbyX+OLLqgZ9emtZ4EVW825TcZ7P+++BKT2EJysHflzfQ9A
ug4RZlz4S6yWXQ3/LHcXBMS10m4nw3rNdKs79bGmwql1sDFRdrxLhUoiIvrUX+Vczlp76A41+B6U
CzzLOEq+1BT794MmkOHiKQtSufwsEh3lrF/MLZ1U2SbHUhzbeDNIDBcsSMBZBvkgp192546PnH30
mTt2G7iiGY5tgxgFgiegHcO6lK2HJdLMMrKBkOz2vlNfrL7sArCLFk64bKKXit6CCuulSItjw/MR
lJncgg9X750u5RuMCrMKC21dP4naxHOgL4X2Lp2qhVgF6jHngdduoBnNe68g4eMWXJFcn+g8IOzk
2Go0lZjVwh4yLvloJap6x8Li3dJpFV/WPh0+tcz5TlqdPY2fat2xQYa+X2ccQXbmTjXuKDE9e7M9
3BlGaq03WFsxcU5uJXeooBXAMTK7OEJ9Z3t1bLqhU2RzqIwMBFy2LmqbKSJCloi1Gz1r7TGweRjs
s3h8WhL7mQkBg2acyG3SLP2ez8ESOVQ8cbnyXiYKyTa05hiPiShVQM3Mrad3MUmnWgtwbXiBTgfF
1VRAT/NpMhhqzmWNtNr0IxVBOBPmbQIQAohx5gxHq+b8wVWDaWCXxNN8FYlKenXQwphpKoDM1x0V
4x1wKxvGsmxfWmU1p6bxPFbf0vXFZhBofIvK42DhXHhz5OybN1TkiqeRL+CEXjOsr0PRE3qm0BXR
CIEa6mCNAd68+spc3j3sxdXU76amxpOqlGpDHlgw5NshYWJaJmp0jL7CWtxfJyFOmbcKr/VPi5UX
H+0h7/eKxP6mYcPO0ArjgAyqVoIf9cz50R4UIcNaFMrZcA0DsmpoAJGNLvkivpyzSiNROYdoauA/
KH8pApMPWrQ2WFMZ6Ll4U+1A4HcWlQpHU31PjNdYqpt72JnYl0l5HhVeztBWw7RLsri5n5PReM1z
JvAQyDge7dbW7wi+6ngpsRtgYWt5nnKWyTt80uOrZmXD0QSMNhAP8L1Lu2j9a6E0cUPPwbIzsPdQ
DDB25j1NPC6VUzHXFwCl/gl3tPGxlDjdMF2Pj4ZhIobOxsCnVNYcqxuQDjU1sV2ahpnd4Xdxp2uE
e5hQBTdm6yf5DQp/z/PEb83ylOsGPqremWx+0lUexX2b5OFcdHdrQqp24yzKiExkqCexuskxtzgq
KbJfvkvWhm+xTpaGJ0WPwROBCQsu6KtNkmfN6+DY+K01nrqJtHiY8ZYKuexkkUjoV1Yk/AUoyurU
xrN7GCfRR6pzijNZvhoTjauLswS490y2oZ8x3GRViPsQkjZd0xwnvXavikbd2Mvk7atUT6JuXGlJ
64QVgHPlXaK1U3/xysr8gXqr8RCb1JNgvjsTQMB91zP9I2e6qDRa+kCkGMQ3tQiI9jIPEtVVlwEj
ojbqesThFO+d1O5JtK863k0+GmZupFHWmAeZ6t5dPTvzYSITeXQ0F86QEwO77rl1DEyMAXpze+yw
L2NMcoszOI4PeoV0HNSL2Obe8p5Adg6g+HIz8HJkRT0mftm0ywtcs3jrtnoawYYzcTJb3i4dVReM
7WIcCnI3qLNFTd2W761has56CHDE3fSQZ0JNrJRYlXDkuSqs+6WdHXbJuHzuPFeiA5M9KSE3G2P5
MNtpFi4gMMPcxnCKnjUWZ42972SzvkFj1Zk0ZLql/hrfulxv7GLlfxfxfYcZ4Hbqa3TgsXjxO+OH
mXBY2+D/MwsEOkrJu1+3zoY8dBZOU5qEnVZitHM1uTXIfO0nq9pZSf6wejjXpWXbAXZTmJ7Jeksf
PNW4efOquia/I44Gi8jYM1j1u3G1xp8axSZke7UfeFzFVqxMyHOjZTtF595m9ob3CjD0/TQ094PE
GbMhIMujXb9eBNNSu/XoKwyAP6eHBs4rjcval6W5w4XWE6IlnP+bjDUYQo9v/aCyAUx7NZ9HpeZD
Wzavv+9i/6cX0pfss5Wd/O7/voL+fa38z/30/0Nra0NnNfx/W1tfZN2/1/8SH/v9z/y5uNaF9RvB
QQcDD4KZTmD2n4tr3aG2yRfCdHgDEGkk2PXP+JggXSuEAabPhtL3l/iY9RvxXpu0KzQ25EXCt/+5
tr/7Yx/Nxv+PNf6fv/5riZF15an9NTsrbIc0s8k/pu0ZfEL/JTurmNapDFnAayqFBFlqFQLVlMIA
Rn0ulr0rC7PGp5NAldygol2ow9EYIJP0q0MTkhsy2QagUMHijnqKhvWT7Fznc0UGiaCOIihalVrO
ElNe+ZqtzI+yW8VXbiYzkPOhQOcVtu5em1fG0dxlGlwEoi2ucegaf6QF1sza6dIqp47SvkDZJHiP
TWpxAP1zmw70Ie43GKXOYgCgvmmVR9tBXq/cu5b25zhQ8cZchGFonAVbsxx4A02/eEcWEz+x78Up
K5ipxpFkOWl2KUc5HYZycPdaO7SHUVY5zg82GPcjyomRUyMoDR/6+WzukCV7bq+JvH5XmMpfZ7tT
Ad5gDO/LfE595qn91dmt6zjDSHeGgyxz3Kmu2XLlIBeO2xnjUhesWoyVZcNPnldZrIOOmSqzj3Aj
uju6LnLnNEHF++QVgZMM3yCmatRR66FvrU6zTm7L/jjKW1qeqCKd1a71FH2sxmxMF4CjFC2UV6ub
rot6Sy6hQiyZrDTtzX2ezalsKBEp1Di4pxVBHJNwoHcYHuYI7XzIMbj5SUtdzEGvyGiMp3LyGdd6
DJ6O7xWHxNNcVzHG2LDfTUN/6LplvsNVq81ffu2q/NvHXP3NNtSYzBuj7uxKfyTLriPgsVuh+4L9
5A9FyYLFQt0fz3RQFEeH+ysvVFvQEbiwujxkWA7NiFXrva6zGRdZRc4oLabbbiFlcM2987bEcxku
qkjAI+n60cvZ8CWJoFM5y4pdQbGTzhrwoed+BVldK40w89uUS1XTJyzde9cKLJNXOzAoKtyLWmDW
Kk3sCtUs2u3qr927NFT5afSNbm59dD0skg3PxN6LPZzBsJmJNiG2HTsTZ75lJuUx5wqv7616+Jnm
FmW7K0+RO41XkHWupZKfSWuJE3Sbaks+UtvRH0i+jv+7S+mYaqev+nxf05Bztdh6+S1rNhd3kgcw
pzBEcbpGW3CoGR0mVapqr6OKfZOxnmDh1pfW2eGRfazjFYtZLhaUqPSd75HYniCrMbC4cNIOsM1g
OWfhuh2yWxH/TNvU30q2jDvcklZUNEV9HHRXPecdD1ccJ/fXd/Yt45UIXWGSxWv0y0rBBgsPKDSe
ibzqcasgOWEq8S31Rdyyck9+JCpbT21jTWc5EmbvSrxgS+YktFWOxS7OIHCRFoEAxJpjh8rgPyaW
xtqP0P8ZEeRlpRK7NnOkCzIMZ+YA+0xihjtW3k2vdgMsmqX6PJFoMY03SopYVw3Lyn17KoX54MDZ
j/S6M781iFpV0PNqbIs17w9wiT4dGOpEQVkBhdrAGnFTcL1/VOY0M/24o/y0vCV5whOfIEyBlf5A
RYePTYKRr6G0A3sLIzBNRTp/gBM9CbIfBbywwAOlQcFUPm/NOvH2bIJAiKM8IhhDcNv2NrfZjcsm
/aT76fAEPBrDHa/PU0elHG9rchHGQr0VgqpdxP5eA7GLAAiimFpvDXy8b5Xe1+zU6Z1fehmYQll/
4ZLxw1JQ5LZRFZC3aJEW1TFCp34hf+ir1jss4EjCgnf3I6XCqtro02IQpjFjzDNYDAWqyjLbhA5d
twFuU46c7IMwf7LuQkhFI6K9UreYxoVjcwue2KKCJHrgwpUFlttOr3jNadgwc3kxSlV0m9GdP6lF
IfpkmP13gn85KChai2SZouBahvnDION3u+pUUY70NdwtNUO6TrftnYFf9QT9Rzy6OiipADRV0Wyl
7JisZSPePTW0IdqbfMgtDVbZMqWkgvNB21h6n3xjYhX7eqzdN9PoVy1ceWtFK0dOkJLQdzawuif0
Sk5+b0I7cr3RuRjNmrC208ytlejGc9L46uRRwXuUfqvuGh0fa99gSYoWP11+ZQtJKZvgVx5gkqLy
TCxlgyESW388N85Gh/J7WPG1DIFlNL+4aZiRPkt/Y9qGvJCUywOQ++15rSVbCVeLhqXwL81o2Fz6
liyNDyZQ0ksq9CbEzpv/LLsR3HhXqourPBKnk96RL6Gx7cGiFWc/ev18kOxpLEp8LDjUjM+37aiK
1wq43Wvi1e0dLucYRnicnYa5ITs3eeuz3lpLlAqZ7xZcj1G89JjPHQpkuTE0WPihoYv+UJfrSJzQ
HZ7ZbrOfzqyuDrUMF7RjsxlvRCruritOM3K9WB7rSSM2UhXTcrLzpSqgobBD86Rl8jr20w9rxq5s
j2QpyQ4SLCYOuB71THc+Db6+Fsi4zu6SPp0wgQr/dVltAnzWyoPeo13y2qzQZVsnK5wzLg/1RNEZ
spxmt4gTSezRI+1N83loZLvtFFUb/5+u8O95Oi3HAMHxX3s6n/v39G+Wzj/+wD8mY/83YQuPzTDt
vMbfLJ06Q7MjDN9mfPY9zMH/nIyN3wTcYN0Dm/Aff9J/Tfc3pmVhXsdEG0KH8d8iKvw+8f7FySk4
501TANL53cbpmP+CGZGNzBAZacX08dxx1niTWqCqO5P/AvrHPBTzXIDzShJ1wrPUfekLzJMZuODd
0tTtvoXvdzKQJO5yQm1RlenzQ7os9h0SRCegJJVzRnYFEUtcOyKqyrHi6UGjIbxG1/dHaKLPyIg+
1NIBcBWe/WlEoRJlrN1eawKAUQEK6vyACUd63ybspmzYT8y083jgI6nTxx27ZCD+D3tnshw3kmXt
VynrPdLgABzDojcRiDkYJIOTyA2MSkmY59Hx9P1BmWqTlPUru+zf5qKsrKxEgoEA3P3ee853jlgj
6uEB05puPWhF6TC2xttn4Z8m5/jEvbRo16V0LHUuSw+sQkC3hOLARbBm1V2b3EJxPWbxJcjziBk3
VT7GMzt4LHIjeoSqbu75UKWfzb32cYzy+NFNLLpnFQj6+6mUl25ihA9vPsTzEPTvnsCp2bQ5fLOY
xu3a1hMQ5CUYL2ftTbMDty+B2C9BWc0p2qjNOOpDfTLoIBdivcQdX6IwHbTDNJYoJ7Czh+pBI6Js
RkgSpskiQ6qk4ewMTrX9boAQ2tV7oYeBiIkEQV2aTlcbC21zU5EmXvAtYP038uEPXM8/5fLf8VZM
sNm/WhEun8d/7d/zqo3i5vP3S4Pxx0/+uTQ4+m+2EGQZ8Q7yMv8vG9z4TUr6xS6LBvm+Hprt/y2Y
5W/msoyAikVpDleDMvcbG9z4zfZYFnipHUGNq5v/UcH8Y7kMBBr3JuW8hZx5WbkozL+XeePqmMJF
o71Pl4rRnDnLGXb4/N1N+TdVOR/x+5r8j4t4dNoWPDr/tRBfvtOSA4XUKo+e2b5PDdqnTkv3zBmc
dZVa3ebXl1pk6d8tdl8vZXFbFumto8uvsvbvLlVCkK2T0Jz30xB3q5jO7YmmLfKy5USYhXG3z/Ei
EkuGPBrvd/k3l/8LOGpZrS1k80IIvjT501qLt96Vo23Ue0IlHo3ceXHj1v/1J1x+xQ+fcLmEpP3i
0WhB8/oTHqdpNNXrgaj3UoyPkzSfKc+YUtP6odCuP//6Ygwr/3o5y0AxbtkWPhBPX/ot391QEIKW
TZ5Tu7dGsibCNBdwAz0tP6YyyI8ZxAqWe/iCZBgyBpAmXj2YUB4MQkQH8AhbjJ0rx0CYw9CV6hor
L+zCoRyQjqIshGnYfuUbGrWAdZhDPWwSDw5CkpsfjYSG/9B2XwrLhTm7qBCeMYZViHK9fplRFeYl
qpH6wAwyfUBp07OilXCmAhvDlWk4Dce82ssfbZmFL4RNMWTMG/Oe6Y+8lYzMr7akOzRYWHH7sAsv
PaGdbBle4C9oRKTRst4O/TwfaHHf9Ik2bM08/2I52bWMrd/pPNwjScnpPbj5sdKntxCuLJdIbDLk
+J3kKs5+Ws2MQZdBW1MInxnB+JlytD44pGZUCrJRDF9+YxkEz7EL2JcJk/ra0+zgaITms0Oi8DGJ
YqhgLRAN9DGfOTh7wHJbesgiSS6zV4ePnW0Ruuyma90bQt8BYokNPhhIfsqCTaJP0Q1tinUfYSAL
XAA5EkVAuqE2QAUejir0Dh2urwnwkeMhFQTOHrmShFM3ds4VpgNgTJWgw1FMTWM/WfSTX6J0aG4J
SOL3oKI2HkuR0kpp2Lt1k+CpuGlwJRgkip+CnBllSYAnwWSkCecjaIc6p8eMv0Stk7GgOa96YzvE
mf5slUQwArFEeR3FRv+KDB5SzFpX4qwxEnmMkXxtihjYYmCjuopqG7LCGAvvMIPyPBMV19xXM9VA
3rTnAI7Raz273aOFDX2P40vciMm093nBs4BvKmY0UUy7IjdfI2pg+nAxduHEMae91cbevQ5Tcgca
vLmZQ628WyCzRturm3Aqq3rtkUq6bUbiEEtbhkCC7Yrx+STjXeNZ/Yl4StD6c2TfxU67DQKzzBEy
O2LlifCNELoIrId8mYbwaOVBjfdtvCf58onmEqf9IQG0icf91DGnWcXRQL3Zh+O9FoxiZ5ixzjkA
YB9SMOsgq7Y+KdRDRIiEsrzNFfsGTzTd2JWGBfXeDGr13molk3JemvOAavGEjsuAxOhhwcs0KNBJ
TsBnGtSOX+s1VwtTE0ucp2kmQIEJDlAVqeOkucErmlLcBS547zAIxtNEP2DtlD3VDMMdIMn4YPI0
11aGhZrBCvppTWollaGdjQiiInFmhOlug8T2SAdi/pOnpKnZToSU3XzxxAwRp+v0azwpfW8M5hsY
qLPmZuFDWurWSjjcaRzNWHXKfj2gaiI8DGZLQHIVHlaxxOgkN1pbY02umQwV9fwpDl30bJGeqpUb
hMMh0EI6J5p+j5N7201liHMGV1Hp4UKZ4cuuw8CunxqhOTgl2hGRNejobW+U5ns7kPxURpW9aact
PGzzUcrKWxcibYpD4QztXa9V5jvrtnuI89HE+c90cxroykYRFs6VtKr5EmRpZ+B2rtRTKdzszII0
H8TkjSvajq9NOUJL8lxtNVJurrMqwNSpR2eq3F3EBgChiU4eQxvC27JcFJc2dw/ZYDyleYRPPxB4
dd3mCPSY1gCtWD9AingTBulnzuGwvOt24/SG9d7rVvUx6c3htrIwSkLB5t1jSbBvY5VMZ89GxgLo
vEFSH6d+Oc7jh3IaUc/EDVfWvUSpdWbzAmHUmpa2qJa9iLHWqVhn696cE9s3M5rwIsuZhqKbNtH2
R93GLni+xGRPn/JcabdpjfS7JWc7bZzkWcI53isvRj1dN9lCfyO6ObFYPTK3znaYTawzmYxjvfgj
htu8dbU9pnsbt6rzuyPMsFsN0Jv9OpAJVlbXeczaSewK+AfonpjPOYOKMZqQAE6/F10ZUYCncurl
XnZS3tqxgImqheGbKzfgPdUOjRm3f4imJ8HK5RtUeFtuUvZoEvoLLllUCN271Hiwantjw2t96VDB
vU0DJG6b7OKXtjB9gOe4RpKqaS69qDpoFglPnnKSvZViUYYOp/lsnl9QpuB2oBu0tcOgPbA/joch
MVkz/kDzYnNdQL3GAu39utX/c8j/+0P+Asf9f5f9l8/D+6cfR2KU0/zIt8J/qe4p900kYX+G9Xw7
4QuD09m3GRiVvu6gi6EtK5eSn6Prt4Jf8n9JhErU6pQDEhLoTzOvX83AQJT+eGajcMBTik+Ukz12
UefnU2jUWdNQNJV54wStQ3SeJWmOCq1BxcYwWEUkJLDblEdbeLXATl8PGx39wWa0XV4wo63PpPT2
xgcZzSli1qyJTjVQIZB1VY1cuKen9mwO1vChSznhdaEi0bBSxrSm2h9IYe4QaU92VMDSH5W49lgU
XoshGG7nxqM8h/a/tPvnxsFxGDTjNgY2s3cacuv6JsX45FSq29kefyJinATFCLnDNGbBN093llKO
vY0mdwz3niVmZPZpQpAEzkS1gseQfqodrb6NQzngdyDH4jYgQxH7O8REHdlErlJ8GHHqHErVWExS
RM98Cds8/6/Zyso4YnpQdzURjeoQkkuQ+CxSk3ZE7ZyUJyvAt7gCxpeb9wZsjHvPSsLrnKTDbZ2x
eidwDXxaB/TygrYETz42zj73MnohiVXO4T6eOvIA3T6lwWghNq9uzNR4wsfaOTNCsj9K/EDIuN/l
ASdAZ+fKIg3RJaAZ1f0pyZtCXyO+my7mH30EOr7awUK7RVREFdYwphIbiU6REo6aadn00lb4Ss3r
QL7jqmF0im5eIoeaLmk9WF6wybO48Vakqjf5tnKZNxIWYJlQWyFlJwFjEaVtacKLdlzLtjMZ8jER
cLpzq2tD5Ie1TkTCXm9HEZyMBhQFxqN2WB4cysp5SuS81SaMd6AgcAgMx67r+0q/ELCN0I3Rf9vi
3CVSZDQgc34ImV8a8+sUZ6poPhEF2uUY3dN5zoL7fxa8/4t3HcK1TRX3qwVv/Ndr2aQ/NjS+/tC3
hob4jVXKwGhuCVILvzYvvwWeeb85tDppjTp/zPpZ5r6tgCxzlOaS8Qz7sGs79AG+NTX0/x+ILGvx
jyWypNXpwIqkQKPt8HOJLAagM7oelofB1ZD5pEUob81mrC5zNv5d7NRfynGuBTTxq+neosnzUwNl
4CWYOXUWB8ccxWUelLhwovKeFXfgXNeYCr/7Ku7+KPS/Vzgsv++H8l/SRWKXcBaFBefkn8v/hYSK
EJzr5USErEZcwwELGpkN3UQzt+gC29yYkysegT0Zj7+++F+aAZK2K7AJsATEbAnrpw9bazqK+JaD
7gyj/1Oe5RhBMjG4ZyVmaIHB7D2T1fB3H/nf3GLiMV0TBMryrC2PzfctiK5lDD26DoHXuZjuUk6Q
n4YiJ0DGi5vpLtSx6P/6Y/7lgnTedJ3L4dtip/95/0x0JNmIXD3OgUF5clgS2TQ7et+uqb2ZwWC/
/vp64i/3lQTApZlDv4+bi2zlx0+oWsH+G0zDvi8n8AK9HbQG3CDGcUhGLRwFqo/FxSVfD7dwKq41
lu7noqqcESZsOiPHdFrnCkXX6FfNIGEPkB7Qnikopg8gMP/mKZDOv/l70Uvw7tMa8njZf/p7i9wj
kiHv+r10EJ2Qxgs09dSGmV5vw5I8AGhFYjyKMlJZuGo7SR5oEaqrBo1nb+iRbR/j1jUPOYaZ99Bs
EayR4Muz1AbkluSzKy5THJExMegGonV4JeKSw7jLYRLKWfgcUaAhaU0MdEUZs7utsFdckPtpzaZ3
dGDtmpquomOEEeCEwL7aDKX86A4m8FYbrdmwIacHa3RjyunOZpWw/ZiMCm/xN2gvoFQ9Ei8ao+GR
C0hxK9CpYuZdVPGREJ95SlE6E2UBIvOms7zBup8KNZ4LPcoYAshkpAKxLHwcy0LQMCAMEfG30502
svd7aY3bYEIX8NonRvU6N7p5sHGR0g8bBhLnc3O404mTyNc4ylm+Jj3xNhDU5Lvb6NMVMK4wqACD
Cp9BN121WhOP+EdcP55jiWVEGhSiypvQCnf4PFBcoUlpAzlde6vhk9J1pdGWYQxee0UcPAMgSxu/
Zxb8nvXcR3ceuG+NJR57jy9tdmvveaxn+W7TLL6SteptahO3xJY4lQ6786ThxPsajfTHsxrRf+3X
ESVafxOnU/spS8jgW1mSD2so9JS7dhwyfA+NSjENOEGcH9JaqxEg2xS9X/3U0Us0MJ9CpIjdDl0D
sWe5snhOhsK23suvmc9hxcuPwObskWD2XFFj0m0oYp6MCW3v2qJHA2hH8fUvgloQBIpY9YHg6xgr
Uws3g7MUScllOi9NvoYvycOPdSDtKkZuDmLxGo8kcTBMJ4bn6/23pg4tau9aeJcdx6dAj9p1XXj6
5eu/6YIAqJPSE9aNOdprfNb7yOkGfww9b9vXizUIcZLr2106Vvu2TYLgJOiXVODBxh7w1OR6V7x+
AtVN55p6D0wP3cKlo8mFtQz/nzE9IBzTGQcHDMOHbYYIZmGFLjIdkI7QWkTnkMoSAkWOjm0L13in
9D4Z/TrUVHCtqkKSUFbSs1gVUd8FZ2P21Cst+/HToLQa0AiamPhuVJoxcnAk/WfXFhzkWyOCBTHr
uIw0d2CErafkmslBcp/bRxyF0WaKIQIGhae2nkntvujnaBljAXAT8yLdpVmDd4OW3ETvCYWznfdg
+yraw7gO1cWSqb0GASI+4GuufbpN9gpMpgBAGHXXMao5xHfBIN86K0UmF5ntSPa8F0+nwdGGveWW
IV1cbLQ0wdDMuojbP9Uty6aN4/1YxJF9qfTCC1b9bKkzZsmcL3xaggBnQhZ2RTV3nzy6iyOSWfLS
fB5u72gFePV9zxpatH2OEzybRYuYW2jWE0wtouua+r0QDmBh2pvWvsZgvXBfTB46XPs8UiqFwh4J
/seKdXm6ss3xLBsBAQp7WwvYpWdC6lULpU6KjokswFXylkI3XxQEw3Sdpyh4hvsnLpUlqldSSMm6
GdLxfSrd8DmRNgsm2fSPiaYnL0kz82J5SpqHQG/jXeyYJgYrD2ub55HKxDZa0gwnJC8G4NbyMcKt
MHNXHmU2o0SY20q85Y2mzYc5snr3YObNjJ9KVDS7zEY06NgM0/wI9Uvam6ZIj5lXBedRq8K7pk0i
tHPeoxNF+Oi75h2ix7L6x+KZ5hLpVj33if4T67ysRHz0ysp467WAxmEWjfpN5UH9oGWZAlgYxoM0
e7Cy5lhDs46EQ+VVNi6RbEZxO/XG1JNSbzznkVv55dRi6ySTaPQtZdTOSsMGO9B9D4oLnWrrYyZM
/n3FjtU8kX5mBB89d4ybVV1XQbmdoZQDKAjTnoysNtXO1EM9ty4HkTWjZvqgHLfcx1bh3gJTRLTN
R4LfCDV2rYygfQXgx1mk6hYn5ZLcloqBr7VG8L+J4dizWFhZ2Fwat1WU4Yl70SbFtoBnOfc1rOSf
oKt7VNzoO8iCmnlo6p4npQ3xUoSTtjxKPTn2fhiV4mIaHmtpbRus6YnH7xkM/hoQK965HflqwO95
rIN5n/A3ObT6yXKnQl1FKeI/DIKEc9hZhbw/NFLW+2Zo9ioaWAfJ9YBdD0XAPdPWxu1CRHC25E2x
aDHUm+4qk8vbcqQH5yyxdWXDhc1gtt5nlbDgf10CHVqczcYhc49Hf9RJKVzgA8Wqr0brDEVIpwEo
yfppOq39VOCtRiBuNjwRxlzLd2rn6a6N8X+DsI9xzqkaLdWC13M4MdDCsHd//FmikA1AlCjhJBFo
GtuX07Da1xkhY4wSprtu4Oybo+GCHpAV6miMBqIfxHPA6W8IijLw2TZe+ToadRXdGnLgr47zis+K
mZFLFg3ToqtVV1nLbmHTamZ6GIU19AmcFIPj4Fex7GOftoj34lqqh0Ar5asdCRZW1WjJeawaWCLQ
3RLg2r0IH0dnZtoBKtE+W7PptqyLjnjIQKEc8f9pX7qm9nZRPxILx9/MKSfWHO/ZmPCW4Y5t2Mlr
rxOPZrNkKYVLgM62cSyUG+EUL3cUmQfAX4nACcuqC0uFAUhXPATLN5oge3wnbY0nLmv5GjUB62XV
GbNOXhUaX2irmUvP51loymIyylbpjA+2GWv9w2BPyBrXMWaCyL3SIfZstqrKm7Euu2Gt4q1KAW6K
p8TltEwq2tgBHRAcNzK9lJtYt2Aik1YRYwGCUTLaytjlGrZhpoKRfkxxGV3MvBvWsRapDf+hN4Ve
/Jglc8XUKKqvJd6yQwo04cOkefFR65huDW3E1qPcfM+UQ6zUBKo168evTWIbmEuAwsTxToS1Beua
Xg1Ml9g3Id5tkU8In9REHD7TVB/KocNC02XiWlgsMQymOlj5AwYfkXIi6ew8/aLFFgLQoQz2WOWA
NHU1MVG8gSMw3uJL0RCOkxGXM1njgeeag0Ff62AbKh2AhRpgO+S44lW+p8lcQ+gJgwcckWqbsIn6
SR0RAGFZt5beWTdYi4p7vm325WLKjux82DXwmmE/hPfi5vYm9LKbHgTPyuRW3eqqCp8qze6ZGRjm
pSQDu1yboc4BciJUkL4ThAWIXeLKya/YkPSpf0GvKY8m/buYXEDDS/RiVeBaCty9lsyfUcnzhViw
rGCGS3OM/LzXQThwIsCIr7EDtysFfpYVJFoGTuxXrIYdrbG+NrSDbaq6umlTHJkMc1ltYrvhiZwJ
RkULO6GMvFPpmMRrIBd/V4ovVccPpTEZXhQcJJphQ8Vq8FNpPA9G4rHjEcQsvx76Ecgb0Jx5En9d
rv2l+kHjRWgSvQzKfovC7cdqzQuirk/Krtpnhc1i3DuOeKzbRstW1iQW4uJSunxdDn993b+U/lwX
0wUmCSpTQIA/VV2U5BniUzLCsXDb751GmEneTtkEfSZi/SrzQl0JuWUtRmfJKffXV/+LsoKrewZV
MS84f8TPaVUKMk02CrvcQ3WnAJkB3T66y6qbOC2rfQeaZ6FVNZQly8nbsFwW969/wj8jir8ZUZg2
Cozvvq2FZ/knp3IBZv73f718brt/kTlDjHH8w6Tiz5/81rZzfnMMnh4PXsSiUDT5pX+27VxURZLq
yqLnL/6UKX1r26FeWixdJDJ59Lq+b9uhVBQ02Jhr0CihHWV7/8nggv7gz28wuebCJWAB/czXeKof
36xQWWMGHS86tLnTn0q3kNQ1RtWeTDZuXLcdp560N8WVo+tK5SFHfWiF6MLFuE8jtt1NQOTStum8
5sFz+TdUIt5z7HYZfC5ciWYMlp9hH7KOHnJcSkhHJA9tMDuEGyR9MNPyxnCy8lyZwVZPJfA/T6W+
rPJpXwfWEYkdzZVGAfYK6fE/ob6nohhkE6w9O/ngjeOzaLMA7EzQqqe5G2aYgZnakm6h+52V9Pch
JP4jAWoxnrmiBfOEbWNY/DL1Vao6PvMjovIhWmJWKLX7OKiS1o/on+8bsy5v5lEVEI1M/WVumuGU
mLp6ZIpMMd600Z0BrbwGvLN8cmJH2o2R27EfiyTb2o5E8B6NKn8II9hJhjlVa87iMY6HWpwwQDyV
Kbig0O2GG9dS7HdZt9bQSPshah0O8rHVPaQMOO4YBaChsUwdrItNn2BbKuI+Ee1rM1tf4K1cZ7A2
BkLNla3qDNYLt9BsO8woJdIPA3sNW4GJazmt9iKOzg7H9p3oo1sM/UPnG0q3Mt9hZA6EeoQnkoWz
de5IswDJBrVp5dpztwrybu+NRfdkkTGarHBiiI02GKTOJkvMZ9MWku9D9ufZNfZdor/GicHsis+y
Id32OSiUfvTG5kmlyqJk0os3lBzqSOSqs8qVG/kyRYggOulnSRheW6swC39wyuzGTfL6khWM0bjL
eeTgSCjt27BvbWhcTNuB+QyvQRMY95xfk40M7ems5uozYQ1Asgo125ugjsO7mVr7ONFhgHJsrk1X
TOfMThnpCzvw+0IL7oXZfQgRdq5l56SHyG4C+OSdng33k0ej7b0hPuNNH+v+C4AjcW/nlTwlYW0+
pBivfFQd/Vm2bU3qyJBzy8Yqb256Q38bJ6u/aJUBHm/UP9NgfHPGsWzRaRQ142arhyACYRwdKwjn
vFHuK46C/nHWqNhBSmQYZAJG83MOLg7lei9hSdllka2zYhzfonAudV/Qs6w2rVaj44cTIFBpKGMj
nS7fxAVNj3uywom4Qlp/rmpkkOuJ3JD7oTLuRile59Z71Ru6mbrpbRoHbzgsgxihhUWIRbODAmLs
dI5+LzJwH8Og+qzD6iDTxsmqTYPYcS+zYXBvIarS6PDcmOQB29iHrIxXfkOIY62NLm0dnxjpjgfC
5XIECuzcE1wUCqmb1mthSrrB1IQMJavXPNaq/towsedParfIRYK7oQd52NRpdaMGWDotJ+Vtr+PW
t0zOq7h56nuivzmi9sRYeGu3V8kpNfWEwVxLMuxq4nx800oz2DgmrJIIC9mmrjoMzQ7oCEGkxAvK
NCVX3UwWnqORn9xGuxQlDNon4slloLCy6WrcFovNLpyy9AOCQJyHST2ekG5trQINVkXwOAwQ2Dsr
ssPlfVTmwLhsyCI2g8o1fU/0FeixjkmKhbhkOLcbED+tB5GHN+MgR+5AMs+PNS2Og+zc5maCDvxM
LE3UZ6eesHafbiIiiDgs3Q2BfDlp6CdbTR+MYLL9smmNwzQH80byr07QzcsbkZl1jBJGmyjCS9Kl
fNkjHT2kHApZqZr63sQu/+hKFzWPTfs9knCw1qqa1S6gykBenaUpxFkPm//koGezCPtigXijPiGw
duijCaas12wNSXUAyfWSzaH60kdUShHl2zaSIdEX2Cv63RS0v0OhrBcJEhi3yEamVxp6f8AXnq3L
chEUZv0bG4u9HbuMSKG5HnlL4QzNQBfG0V5jf+l+N0jByzaO5bRn9FzedgjFQ8iQbG9q0D9j3alQ
ALrJDjdMvormZt8yx1kJNtgNajR84wVtLIPp7kFXjiA2CYGYPVrThlGMfrK7EcrC0gJpK+zTPfqC
01Q4xGQYGflXAFSdNnR2Y+WhdIKX+qUHZbcA7zCs5hVr7yiGzPdMoz7UnsjnVRLCjdQn865BPqqV
oI7hwVrqJqrC+BLrk7tOM9qoak49XxqxOFJZBlvs3ScgZjWCATq7smwg4+bVuEkgDJ8700Tp3lvR
oZm9j67X5YdQNp9qD7VVn44fsRv0G10onPo9241oooPbtOEeTb7pQ9e4DCK4dshlKAgNSFz9IO/B
KeQAzdtLqJJrr7fa/RgldxP39RhMkvO9nl1A5c3byU49tkYG/+QCDK29lXOLhwosJKatoe/WjTWp
J4t8wNXYc1+vdU/24xG7nCInoGVcuDHYOZsVYntK2043VQhGZCyVjmDJnfVNFHjV/AAkxtM+jK0x
KT92HEgAsWwN8NNpgZ6B1K8sszZOJ4SiDokfJMRByPPDzFGGssi6DKloeKyYeJGlkCRAYciZ+qzg
e0ro/nN9a5SGFvkVvbwXEwjlC9kr05EKS1BhFe2uVowRiJVyJntBswxHlJwjS39WcA+GqEMSqM8b
kbNiuqlmv+MQTlDh9iRuEWtkrvATQBqa+/iYLzRghqgbNOLjljkRDVOiq3dtN8q7Vrn1diRMjr4f
VIhVXrC8prXJDUpVOm0jPQzBYQfAl+mrYVNOWw4duQlppZmJqNFnLPxj2QMpY3ebx8Ucap6aqgcI
1hkN3pGVoXrPXbFz6YCM2NtWropckP0ORKyZMd+RuVgBzsdthx7okOpPJOhoB4gENgc/FCrpCl2O
dyukZpME3s11vMWA523IapiBDpg9nEDkCaB4k0ggndCTezdq6mviJQjsPJuw8RKLO5zRgJg9NGT7
WUQT8ZLpNOgrXTXO4thV3UtGjq8fILQ+58nSmc348j/MZmxtIUHuTDCpMB/nrkdeWKCPq9M4IJ4E
Fm0YayN5GjG+PnKw8oulYIAvJyDYfbltuAcrtvQXRKsLBYOmxTrsQbduoUQX8MfSTqfD3HUfWLzn
Dapa+1R64iNQEGiLjBRzNHhgGFdZunCJvCYFuEZpqmgYSmPddTYZiZjA89uibl2xttOI4YqMbio5
VluSfjpaco482DRRwY+arrxvs6ZPN0SALTFQdrPx+NKObk/AkM/wUX2aAjd6o+cePxnKdk6BFRX2
OlaDgxiEo5lPPlzo3eQI89eGcj50udm+qIDC0A6ltc00LIgGyeeHxlAzOQlJYr+alTWMayY6zT42
SSDJM8O7yZAWfjbQrq67mvhM1tP4GI+a2Cjk6B+GgaRU1IK5E2y1Oo5cv9Nngy5O3mxV0ZnXXpTm
RtojDk/lpATGxt7Om1BYS0Zsp9kZRgJGwvHawluC9T5Oa0gcBjbYKnpX9Ui4EnEQhHPFwKpXFa3e
TW1gdc4XPLAZdPWGmQSZfoPufDIKYzpXbczEoZ6rh2rxta9ZzxNA16J99Ao9+xCSghr6UiXesQS5
dYydjHSeKqjhPcn6pNehjVqyG9dM88sDXTkuMC/QQceqNqpwBGd/LK9SBv0aWmiUsjTnxZaMarkj
Tb44TDpn8crLxkemg+ZW05tNV9UJKigQNUmSD5eEsfqJRWLweQF5WRw4bi2tUtRHGJcirSZWd9Gt
K3g65TodCJMFsc67TojSqQKMsslySP2hh7M4Sm0547+ncRXXvf1l6Mrxkw0V3l1XmTfdDIYxmdux
scrtP/X//02xg2bwV/X/hWZ79C//Pf05+pn6nx/8s/z37N/Qb9hL78aUjO4XBeKf5T+WOdgdtHZ0
A+/Mj1YkbI0odqjv6anpyD9oGnxT7cjfODDrJlYUw4XfYf5n7A7nxxbTYpuxTIfsC/p3EmXRz+Yd
ZCdVa0+OcZ4ZpoXzjmVTdXgxDJ2KrL3RmLVvqpwpAfh4mdQrSGXzK4BZG6dCLPbtUGlnVHc9q4SW
b0OqL3Tpc3tThsU+asz+6Naj40PFZh2lvnpgO8XMUoSI4WN3YU3k9sPgVhOtbA88a0+Q6E5UdQlm
kza/DQdixe8TW6OuCZn2hoAEhdqj9OdnVpwo92kc3djMzI4GC+cqqoN7+IO3WPN8bF76Ag4R+7ol
LtZlzLV2Mvso4CsFPUcshgufeilGv08gDuVDk6wbs1A3ATUeqzrKv0H/PdJIUKyzVtsESSK2Sp/n
nSzJGCxCY4dWsXjx1JBs2iqNoeBZm2xqbhvq2w3d3O69MTpzmzk5r6lktTVzpidw35H6s6r6XeF6
QA37+EqybennsAb3VQpNlxPQYvCv2M265LZRno4XJZ1pZEMI7GkKwVqrTEzW0vTZ7+RqzHuw2mXW
HtPYuYkEHRKGjFfCB5Z2h7Pz8n5fWYs3IuOUp7C/rCFL6MQg6TsNuAS5BupZdoNaDyAfNnjtO7/D
x+9nqg/XDbs904r+Y95i/JkmnDeFiE8VExvysKdNOTtbLc4qzn914fepTdYgDadVDaPcC7xjh1Fi
7abwwOM50J6VGQPshp+C8R4MgdkT7GRYJBhqQ64ORhklj04CmaQV7uA7zlhvUZPTPmk15beTbvnF
Qt6WLoOPntyDGuTJhsiLt2qqrFNNKJYqAqLwpFn7fduMJHDCijeBHHp1VftZpm3SpH4Ej/vsTvOZ
ZA5nFQJq2GpFrG+QBUU7B4LeLJO3pO6sXUI5wox+LDbI7+HdGt5nQhUSvxs86fNMLGJ36joeCbcJ
770ywbYQpmptIH9dpyEHR1fQk2oXQGsnD4hgxJuyZsFu2p5AtH6cFRUHS3m1SSA572URwreeIbRC
FyGmr0hq3wkrax/NnOWtSOG2hRnlc6j9oLUgplNnCnxmbUQllareYW6wNqXpcVJCuboNzOSpwWB4
g1Ym35rux9Br9eMUOuAYK1t7zNh+ltyTyPIhUMdXEiTcdQECDg5GpHYVeJNHvSAxDVliep0pbvy2
nW/arsm20FFGJutszHOKO0waurMpJkFr2tD0O+YQ5N7Oab4RLVUlQdgGkUwmpg8nsQ/CoIMXhy4F
mBEeOjkYp1bTe18zouqJ0pS76AKsNawEwFjojb4c6f7osiRFXSb6E1Hz+qrTBKXgUM/bjiYSYC0I
OMAdioeUjNi7oOr1o+jaUXLyhMyzHjXOaxS3/8PemXXHbZxb9BfBC1OhCq89N9kcmqREUi9YlChh
nmf8+rurZa9YdOIk9zm5a8Wxr+hudgOoqvOds8+4mTq63KloS7cO8/0dbxVuH+E2/qBxKphO7+kq
uzXc9GtMqEAHh+mvq0kV91gxNnLh86yWVhxklJFEdswfU8CeiFCxuKoGNkaJ1z1SiXXsi8G7UovE
jNOIBw9r03Y0Hcj/PjueZcy8jYvFhdCW/w2CyEMM9iaw+vusp9/bTGJrP8fG95ws9S4jcN108hSP
/HnouHvGekhbblHQi200a2aP1WbWs6JIOmplufFbXYLZQOB7bIkTHaQ2R2Sp1BEXzmYMWuatHZf2
pimIfpmh19zMttyRGH/zaz1pjIlWU7AlHgMbCnsu/a3uwTO51faTW38fwNhD5pwDCu8SQjcZuBwQ
NukuyWwEv7liatWlGKz9XB2Y4t+Vmf3F89pTEro0jovpsxpb0CBwgNbZ7HjH3oyLJ98fnjMc6hus
dt+9aIQ7ERDFG8Psybb6a+l2je4luaLaBpNyiTaYSQ8WYkN/BXaLwGFLFNT1j6ah7TT2aUsWS1/u
XbcH18N+cFsjKJxmejP37tQo4pPwUDJOW63DNnvGTDG786HMCut68QiMDPZc7zrFLm5SvGKhVRnm
ePctqIjEYhHCLoDaNpK5Sa0w23EO4FCZi8eKZBC2I/SuuW6PYVPT3TM4BltmquowVJob1EzvNUun
lzHooavOVFb2NmJJmEW73u7G/VRMBtjaAFBlPvh3CCH3ZkhtU+26+o2PN1XNrLXD5UVt60NJJ+cW
B+puqmPscMQTj1ZkPNNEnWiO5LsDTodnYd8f1bA0PGviZjsHgQfmmfZ4GlNJfho85UZlkFtsVM4M
3IamtThiF8rRoYWuQjJ0K2sfyuR5JGVPAFA9zV17TSGG7rEOfzhGJa+yIuOUIDPKWSrP2olSqq3l
5uaVQkfhVMpKvvBU3TVwOzd0WS5O8RVXhhaW4Q4RLoQHVfug20fGwBXAkFqV42fmoDmN0QnOLNot
aq6+XNFl2/jUksvITvVNhsFDtM6htqmDsNay8uzgk9OPhUOgb0avV+FWtCVP75QoYjXG9H7YgXhw
3Fx6zWtJPfVSXDXO0EJQTko9/KQ6KGNMntFW26D/3/xve/0fba9B8TAr/teG+LsoLn8xw//8gd+3
1cr8TTCtMtkdS6GJeJjr/5iqub8pkj4WcX3nj2jQH1M16zdfClvP4ojqEI0nxPP7ttpRvzm+NBmE
OXgXGIip/2aqZn0cqknft7AWC4mHGtPuR3NxMBrhEBVCHJmHV8HGTpb0ISJTeCVcd1jDS2qffYLK
O3ZQNBWNU3AFjL16ZWGePolCVa+ul7TPYLHaZyCt9r/xWn8cavPubE4XgjdoO55nfTB3+71qAnJ1
7hESd/kmIne6B7dTnAoxaaMTMZC9X5nsJqoStPyfvsV/4qV3PialANSCCbRcfSoCTHAZiP7ZWk7W
hObmPqaXIwxe8hr8fj/2sX+T+k0Jgr0S8sRoFo3D0XLH5PrxJytp4i/TUizv8qKLoEk7V2FGfCr1
+mzfXRQU3DjeWV50lUlLLIEWW6zKqXbslSkMp4MF037OcxprYX4XMfKq1hLj2NpUdY1Cidlw0/cL
VSoKc1C9cjAz03Pj2a+EQHUTFdjgpVW407U01JRZ/xDRl8ooTitHRqdVpBAPWrTGrpCskarMZ4Po
KMZn+dQD2qSbZqlZg6VXFXQq03dhQHxltqllq9nIA0oXFmeVXFStRY4DFJWAzQd0ZKpytP5VXKQw
Q6tiYkzY9GmlTNHeSvjbzFCrSb4ipvEFeAflpPOOcnFvP/l2TN8QWR84THb94PdGcsarGFsbJlcm
Zb8mM4NCms1GRZO/HXuniXcDiQawTNxKpAwU5HJWVUTAxY26J6svI9of5dgffeUjtGAR7B6muGeb
ZwHkD8hlAywlLhGoVRF0KdsJ4VUWLQHhokuVG5ONSRjbI23SDBQQXtEvK1pqD+wDbWOVuR51xEK8
SHr3tpHwivu0aKZdG9Z2s6JBiqXlopGG5mTtSMs3TKCRUOfMppviIqtG9rBLzXjnd8Ow4U71j+Rn
8ocFPzRWXy3OLlqmVcz53rAMV4dFi7h+ViHnxk3JjtLuQgx9CbIb7g52aetBi8FKy8KBoaYrxt24
UxO7P6gxYhHKpIi+u6M53FkXaTkuZP7dxjCmXew1GqWIKRMiic4ghu4O4TB10ko1994jzlYsu3TZ
9rjZqIPxxkc06niqVrUsymFNeV0drpMpgJagqi6ljSAKYgVQOtnbJmJQmg65hUs1gn61qopqMG/a
2m/iNyL+GZO8YnDtu7ZtgquF9rEjMLuE9ki0e/80ww97W3A79UxA+gmgslUb3bci6BO6bvyuZiLU
sWpvu74pjG0JzuAGk3gxr1sT1X3bD8YSP85OOc8HMALY5oygwOxWFk1O1VwfhdUXuj6oXiAJLzjF
zwJueDim5mGpw4iloCtOTTTSKlizN35rS+kcrWbGD2AwsDvOWEQf0Pj0wzDi90+XuLhLll7e2n1J
+aFh+7xao3+3OQrEYxMs1rit6U9iL8xc7bmLvcSFwDnw7jn4LIe6nJZDDDD5FZM+lsSBKf7KFwOA
3mjkRt62Zj8Zq96c+q9mwk7yJgFrbt76wYjVpwLN9Na0Gce/ysgWvNc8ylEB+JywG9jbDlsePkSj
G8hU2MvnrHWMGIVvdBbdMxLQPbxA0Xat+U30fWNWV4pucf6SYlpHxICyyQ6ZkOgyDi8FM8a4XRlM
lt/6ucMKR0l2e102i3dbtxbvmPF6aTAl6uh5cI2m2tfKzu7mIsKUTrsyje2tlUxnRi/2nVtiH1gB
j8ruGpFBFixCrxQbNQ/DcULntFek3KP8lJPsgOHKO+DazSv3WJDDGm7duqEtmQ1h0G+KtpFfjKGg
PowPJ/XXWAb0GE95Mwj1aFYNaowcX0vQgLeRN5PjVh6zlwBY1zG0QTOlY1t+ba3ukzON3nHw/UTs
MWSPZ7rHnGxjpG4w7FWkaggEKoZ9bJcoPy5tSTuLGehN5Awo8YYxF6eI/fyTnfaTx1awF98wXnhQ
Rujj3ZX0ICU2g0N6D8R0colGXAcRpZK9XJoWYyEnu6lWlYCp0VjXDkDWo2/bgLO5gIynlHVm4Vf2
6cTwa1x5+DilTeSkZejXlzZ4rbmTxbxnCjHz9Bu8pNEof6KcWn+ftBLfak3+fxvH/2zjyPT4T1uO
v/iy7prvYVn8unW8/MjvW0cLZDIZM5ph6PJ1UD7/Ychip4Za62C6E+ieiK+IpX9sHb3fbJIw/Bwh
QERXmx3fH4osu0puS8mhGl4Piu1/Zchiu/mrIQuZVdsp2ZyZNus0O9xfDVlp2wMu6/34Pkl5sPhr
VEykgiZMvTs/qFz37Hp10+6BuxSIOwF1x8h/Q+yt0wDu8HSLHEbcWEJc1UGAlNFM9DOTLFAuUpOR
FMfYaijSA/erOd53WW2+57QVsCTLFtryGhw7U3KbiQ7T2JKTlRr2pU/HRA7P/ypPChpYcMdDKmlr
9dXQvkcqQcIrainqVVmGCyc2eD3wPIM9vpRl4/iZeZemMesYJ7G+X7GIU7m4ZBVdjIvjGp+kaXxV
5NcxoUMHKtirQ5Ud4mO8LMlpYph0lIPov4z68cp2DgG0KbzooZEqBZRZTjPOkCXwN5U95s3WqfiN
2cUtlOW1dVZtSGOQpw/Ynw0x861w9L7G49B9wj8SJbfCnoxNG1fyLm5MTNIz6LcYysZM3zDJChI2
/uQzGzS7eH6UotPVAhjAXqjaLFYG+J8eM3QQPiK148RCg8N9TRHzcIy9ILpexml6wfhLq4rnTuaR
JqVh61PoVazpEAGhKztPu2Nip3oGYc/CCAG0XSsJps9oCxr0DAGblBP+omDtjZLCiYweIfaJMQ8f
OUWwvRIeR82lsf2VkWgN/qbhylrbbAqmDQUY0yY2e4dlDWc7dO7oh2wQCaMwTg+YzPrdGNLGJ+q4
By8dyXO9sDslrYTPxJ678px6COxziZhi0lVxNoQ/boshJwngSiShphHeOzYIBr7cNLfMGhak+LnM
I47yM9ukXV0Y1QnsbTLfmEVvyuoKGshIL6svilahDiSUcyHkRUV176Z1VB4X2uBdhs3xjJkgUgh0
qz5vSTQEKdrzin2Agr1XWa6je+D49M59G/JdLdYgH4kVxONGGpNffSZwIeFKlYCG58gHttaY2HHW
yNiy3Xj0X5dXWuElpFEBJM9rOWPSy2Qqaf2Zc+NEpXBImYuaytvWUPFpKLro2guKkULWyKso8RqZ
fpBjmI9TOGORR2wDr0/MxIwOM1pYeWDQQ/FtZ80d0GyoRrQxMkjdFWEc38cTQV7qaYeIFb8Jcu7s
QMmAAN0cd/T0ashPFVTDcFqWuK83tuFCB4r4NjfVoCncZmE0WEuMwg/vyanF7brJ+1zeTEs+0v8q
zH2TSoqfQpxwXHGuMawTib8nM2R8ayCgDZAGAjpShGV6DbNgNb7YcVvuOyTK8Mo1WwJRXbKcOTZ8
Mxa/4J4CsA5TQtAHegvBsWWvXEd5twtpqHuZAo0MUnMP3hEfINJbUDXFnn/IGJ6+za478CSaH93a
n5i8CiSyNVtU29tTB2bTzZsEztEpq+YHyNdPoidL4cSiXR6H1B6qw5hGVklGdJ42qjJYr9vWvFmA
VZ/dYuR+DFw/ybdJyNNM9Pjs07lO9svkqKuEatQUjqsxTafJgrCJIa3AfUWqaK9U0G4zKwzIl/Fd
0VRTLcnGXlznbFSzCYSsj7KN5yf2dekV/tZRieFvjRhM5QYHm/VULeDATSez+Z5T2h6+0hGZvCW4
tj45TTa8crIfGg6NVF+NoTsNG4z/zja3PKM7Mm5y15lDbGULSjtsrvkD+AEtg90l3hGvmhnmqwWH
u9sawiaaTBK/Qp+fM05NzECgS6PXhxyxmhD3LtvYA21pqMxBl4/AeUqR9y49BFUP9LkIsidrhnMG
AuLZ5RKG2ddO7FKYm9sHT43y7AmOhmEXzJvOjsCm+ZwNt8XS2VuwVRgEIBJND0XQurdZbmPOzRuS
8TdjU2KW7VBN96ounZe6m17CaRpovfFiwjVQRTO1HgazIxUEy7q/AQ1Cfn+22gcyFBS5QE+ewrM1
EQ1CQXezeZkPuSM7KZK1izMhuKpbnhq3rkqt/825/yMCL/eXVmj+tRB3/506GvD3bx9s7r//4B82
dxdCpo3w5uFYV7RA/EmQ01qdj6eODZTW3LTc9MeuymZXBV8AHc+xIOcINlx/CHIwLTDMa2+6Rbhb
S2j/BZ/nZxDll6CKhBYEvZPkPOKg91GRoyWnXfLKZLomC3qa2dtwiYtspE0ggKG99ZnKOdpUCJBl
7LzaX0EjaI5EXNExlhqf8jrK6IViDttlYhMxgTRwC4U9B+RvFe14d6Pnzdf5bJkbqo8mvLdkPKn6
NtqWJPnsbhZPFyIbDj76LVOTiqFPRKpj2yTRsjcsu/zctDOrLOmkW3RKk0jfsnwKbMNhdpTJaNv4
lFptWbvqxzAljHYwayqJN9ZkyrclcWg8Ton/s4rAIx6JhfgpOSImg31UHGK5xN8Nywq/jYsR30z8
zIuYy6TfUFTtnqI8A6hrSY692HTp2ERiCe1taSCpwB3IrgfHx9pSRt3NMLZM6INkoVgmwM9ZdsO0
ZafH2EeGdAwJPpT1NEEbMhqvhZWWk64jsWquhkw4n1TDxwzkjVRfr7NoBaU3eDE9lylgHWIH5JPH
oGVdjYuf33eG41HdtORnc8lKaMiquYsCiE6rwaRQANIra7VaEM7GSO5sZE88hyq/wb9Dxy3UImj+
FJ4uyboQ5jMCX3fqS/elFWH3aIE/U3ukUB+2l5GEhKegOe6Lpnc+Y+u1d6AE1D6vwmRaD0sQ3IBJ
hP/omCmmpGK5EWJoHygQU8nWu8S7dNCLlbHYurn1IId7jSDatKNb0/5j3rv4L0u9N3BuLaPtX+li
Cz81uTPdDW1CJRA5M6NV3VpcomcRITRHx9HANwSkQ5PiLHRYDYTaMxF5THY6yDbrSFuhw21zT8zN
M0R+GEm+maXVrdM0SR5wyZl3vQ7IBToqx2F/nyboG7nLYC2ixnITXOJ1vk7aJX4gdEgj/UGo4htd
XMaO9YqAXqSzelzknGR1fq/VSb6FPrOtBXoV/r/tMn4W55KrjbY2OoR1FjBXtYcvv31ZcnoqaJ82
dpHODQqdIKRwTGC8I1VoQZuGaUrSkCNWeKx0+lBkFQZvnUiUqqU2WqcUG5aFdXZJLg41180lzjjp
ZGOF6LPqSXdvkkvwEXWZs7xOQ1KzJlZDGLtkJD03n0lM0pA3xTsE1FFLktbikqxMfuYsaT3RqcvZ
AIjwaJPVHR+x/3FeW4maTcdni6qNZGuKJL72CIucOxUF0fPkLngxe/Iezq7wNXUh8+i3U9YQ30K7
tRH6q9Kk5MmihblhPAl41CoN8QKRsUiOY8m4m4pYKm5XuCUXt9g3Ja7qxyGO3fGx+ykIhhd1MHXM
IXlN065ZCuytF/NrpI2wc+X5dCq32h/LZRaGr7kV02yKBZNtMN2SOenDi6t2mheLQ5118duqcZYh
UYuCDTiBzS4ND9SLu699WYzdN5n6VuoRkV98lvis76hp7QroHQi6nCr5ixekxwRDvcEG3ew7mN5p
77HHrDn0ru2usZl8GNb0c3rxv0Tav0ukWa71tyOzx7LHkbZ+Y/IQ/9onBc9a/+gfa7X6TfD3klQa
eco/07GV8xvagzA1yon5jBY5fl+pHfEbRjQsYuTZPddmuPaPlRrIHukOIQUyy08I/3+xUkNV/lX/
cBnRmQJeP/9OzyHy+UH/6GMbpT+Jy8M0SGRcH84wjcUFdtKoqKudV1DBgmyZqLMfO2QLbAJ6t9y7
5WbIIqU2mM6spySInWevjeb70rOLR7zpwRfQdUTqYStUBzku4lA1DrIx+GVxHRuki2VacKoZJw67
mw58GuKxA8n7hJYQ3bK0GiljCeFcYRjP6m1NDyDF1vM8MvhnCz5xRybFjzYngrOS/uzuUqN17yKk
1/s0Clzt9x+MrVkbzhWnFwYBfAVUHBtORD8bLfHYA8qZzhCQutW6szkE9bnjsA5C7fGn2Cy2U1YP
ryYbYn9Dlrz7zqtYTI/cgplW0FNKw2QAay7/4mzeXogUjAu8Zk2TY0kAhsX8EJs4ArfOYuY/Yr7w
AwgEaDwFgRNS+3HwvniirlepNbbP1WLoSATv7BkifvtcjGb64KcmBhVIQXdjHxRPFeOwu66l5uN6
qqdQbFyiTuglEc9tlv7MCjhx1jz+lqhSZ9qk523tVXyQiRUEWKkdXOArN5nkeYmX6osVKnUfZCWi
M+My09oE2BcRW7Kx3ElFXEgs8jhVeXWXWrV/L2DER6fE9cWh5fPbDQwDiHPF9X6JovEU9b69my6k
BWpFykfLqtXZAFdzi7EJ0s+sBGRyvFZ50FhPAbPOYzzz7RhZ7B4ZIZZ3aVMPxuPCykEgJLE4frFq
1hnUCgIINg0igAk7fmeKnJwirr/C1KtfG0ThZ3aaHNP9BQec1oFpeDBytcVRirmZx65/nhAbcCS4
/qPdxOF5chbGgf7UsMMU8HfZlLYt/guOextq0Mc3teDKSlvLP1WVI8NdP5uczSfKtA+BrLvlCGvH
nvdx0BsnOzCwd49Mu7YOoZIiwtviU1EUCdY0Sryr/oFxmEhP9Cn695UyLGdlNZ73qWCfehPhwiJ/
hMZkmCuKh8pFrD0ac5x9CB0YY6GRJGM1rww+CEgWIi7VK+F8PQH1xxq6jOcEfD96sEnetK91V7lS
O9pnFyZlEEWM7qrzcGYdM8au8TNZU7+7EvynWRVcPi8yCI3HeaTSzE6DG5nnw3U8dO1zVOe3ge+E
p6zPY/9bglJIyaPt5KVrXIW5KSm9Ain5SThM/WilBUfAaXQbwDzamR5/2zlmdqSSZ/wcdzTKGn5U
3jDUrTFvdg9Jb9EnmlU2E4TEthSDyWj8zM4uxCDjRcZTETrBvmwwgbA5dvKKsTGpURKOpJjSKYRP
CyLrXRS8h8NMRrYHHm33m7mbpmsDpNCR5iOxmf3ioVzUqUvagPk7JcS+KqerMU4oCYbAuHU7RCzm
U3vUD+MdQ+W2xg61ps5mD2GOTp0YiYHTg7ylIu2xWyhfluGop5Lis9U0DGN6BNaFINId2IwHSvvY
LDcLX1sLdzp0sSkOGZgVOsDpuihaEgGiuDZp1P2ezPIWU3/wCgt3xHxTZ48F6bC7ZCCnCF+XmSuV
Qfe05Tm7ukSbGGMMgq633Ma1AtoLTmEdRW22m62UBJjBT1kEV8hTNGW1oVnztQxw6hNxvFuq5qYb
04BZWjSswV43+zpAz048w7xpmmC889qMoAoDIoYu9R4xUG3jYA522LLZzQeiJUcC9H8p8QOSOzR0
SZp1PWfk83oZftFzr01ooeOmci42tk8wK+vK5hl0+Hgw87D7lPRNx4UxGnvQHj/6xsv2tKTO264Z
rafBsoMvTirIjeHsc48MEHPibso2j73HSAkrryuuC8AgO6gz7PqqkCqvCkzElSJevJ4MQ577KvLx
T7E0JTlooE64OVeFt0iiEHVRMK0FCrRVddw9IKUHn/0aTpAj8gBjbB+BmVf114KIMFI5+NSXSmY5
k6+B0rrYVru87fx9SYvSK/3W5rPfhMa2IyC5LsdiuS2Q3nCejQALoA2dHf4fNzi9jTs8UJ8lEC9z
bfl1vwtbBols1Sx6zqYuta7ElIQnP82VT6WxqNdZF/dyndpOqSE48bJxRywSonPL9WBb5MaI0nDY
jcgVGsiue4l+iYFWpldGEzI/rkL0fqM3PgPnaJ+54op6E/djdW06jTZEludp6cxbJwHPqiCr4+jg
MnDHnTnZLQnVSB8NSSoNrWug+8nku9O6+fc+b/IN5IWcHp0uwOHZuN58VZCrctbJXIuNFrE+lVE/
PBAxpNxM9eG24sB8qgP7i+GT342L8AXNApT2DN+1dcWnwhXGDfdUurYdwpqDxXNumevgU9i4+8lJ
vgRe/03ZtdgvpdutSFji5onnl3mY/U2X4aWUsnmrc3jlg0M9OlV4HFzs6nsYyIFIrgHDRDnJYYA5
Uq5tjL9b6j+se0B8zRYhOT0XlndbhMzDcwwr27yzgY3ZTC1wQEbNSLiXHCG5vC7Ald++06z4NNM6
zDBrbWDUo1LbGehptChBgC1D84evH64kXvRmplbrzmXkObHKbaMiiN/sNH0ybK/UzCfzS2TL+FDG
Sn4HO/XQD9YPagQwNcdQ6wz5WmRoG7UAQTSlprzy52A5VWZPzbwDjT9cKtoN+6uxIE4NZKjaDjQP
bFQ40BA5zfnRGaqjmPH/JZ71KSaffsq45lcFTpGd1bQ+xZgdXhcz2TdDVl2V3fToLlG7s5aoWGVQ
z6DELe8dmI515/TlI4o8AJt24bMOchK4wGsHAkhlt5qLNt9NPfygxlDfgtB+sTgjv5q1cO6YLBED
I3ZVWx3XlfiW27nFmKlvtxXNg9eU6l2wKt9lPq7ZF7y3YAsjMux0k1vAAw6qQilp3coliIPYMigv
2rNjkQ9wfIjnZmOyQ/Sd7uxCBvcNzWUNXzoFnfs4Mm+juXXXQmKjpJ49ZB4x4b61EhhTVfJpos77
IdCtQxgTBUKMXZQPfaTz3+T8JDVxwgOI6LKkn4h4e5vWWz53SbzXm83aKu6Y34ewD3xdHfWDqQU2
yBzynGHeBWN7t2QcTaOO8QCm26TKvzQZ4c2lnZ7Gtr+vrO6uM4obdmv4q3W2NevgRlM2B0mIFgRa
T7nNhcrorBPo8ZRdSFecMCSpk5fXBVBMYpwk5LAqpPlyT6g2vf7fyPs/GXkzBXb/duT9/MZGl4fC
r2Pv33/sT2Nv3+J05wnlw1fVfWh/BJEYe/+chF/G2n9oszqDZMO8MfmhD3VIggMkYVl8lLiXXA6X
/402y6HyTwghVwkE4J8AFOZL9l8At8yHawSq3jvnQ8bDvGDndG5AZXordiDtlz9p1//Efvir9fHy
Yoz+GeKbvovxUXywPoZi0lJq554jY65eC7e0sS8P/uc07piMwoSpXkMowG/+kDSH/8dLc5w1NciX
NNgHhFFspNbUlZZ7XqCsvxZsGnw6WEbQhLL3gIypCcQPA1o4adBR2FH8/cv/aivQv7m0yZ9xvlM+
X9zHl7edOCx8RKpzlmtAszIG5m5m1y8VVnr9clPOrfz3r2lzmX74bnlRLhUXSy222o/psqLCQxZW
vn2GaWc/EXd1juBRgH9izoAfqvl9bow5Cv2sx9MQdX337pHs3GcGY4t1jX1pXyErT4eWzUSwXRbY
d0B923odiMG0rgdNWoDCqnejgBSZxk1ZAZLv73+PX+lTPz87z9ECh80QlFq/Xy0ZalRklLCYn63e
4FrpM86HGbXTO0Uw6SmL5/J60tDJv3/Vj9E8/Y0xMPE9WAO8sP/hgmEnLJNJNNY5waT6VOCx2+MF
jH6YyVSfL/Rnek2sW5gLuCEvTLC/f/2/3pjSsZSjJJYWrpuP98rg+wUmkgnGyQVCq28YOqCm+3Co
rdu/fynrn1woTIC4s5TJC4qPSO9gll1hmr11JjY8PRg4XlO6iSxgZ4HjtO84QNy3wfT03WlCTqzk
yM1iJJKGxJRS279/N//sF3dMwpACU6Hzl6vWpv7Vrwm7n/uu5iZxJZLEye5yc1jFRer/P24SyWOP
+5L/w/jzgTFmVYkZG85gn5u2U5tijuCJuprndeEq503isndqQS3WMVe5D6fwljTIpJdkTtkr9nrl
teHBLQ1rgYiQEhw9dengby805iga4KsWc8JdJlQxjVc+Ym32c3z6L0vgLyiyf8zXLreIxIzvYiAQ
7KE+MtKTLAx6NfvWOQgSkNTQnRpgqx6E8i6vXpsmp1mbFszXgk7a04USGcbsSNbt7NeH6sJrjrEP
ZftlXKBQWrBU35VmL//9V/tPnoKSHSLjM7rqXPFRXDQmux+8wLXOKEl8IJeP2dIANYt+N3Arzb+7
srVm+ssjkAEBVzVrLjoiisDHV8y70E4oQWrPIzTPa9Hl4g07kf4vBz9Eb9KvQUEEOM4gDiDKofCz
3R2RiB5j3MDVikBq9+6QTLlnOhDvTYObIHZcHpz6mrh8RDggWLygOgEkhZZ0feHgG0RnjrbkF9Ja
wM+t2L/8uvkNPv5a/CZ8z0xUXSaqf5mnLir1ZY0354yBZF77FWyBTSKN5K52srk7FAMwaXwmA7Uk
tsALs46HPIh2PpajZJXx7zbX8wRbyE7Iipl5J3fDxRgTeW1vUe0Uzg49WiJYMFUsPpS7aDSgLnJu
35iyLDGHX7w2qMlRu8HqxJ1BgTcNUz89OQlGTVdVxZkcXXSt2jw52bkqb4cEtWyjyoZBZ2VnxosF
rAC79px9M1HXNhn7gIh97ALGYQbt8T4LRFkCrFGxiTvW7yvTFzlWbiepdGgCI9F0MRW52l8kJGbV
Fawbo/rcFxkIaCeQ8tH3azqi6EhMsa3ZQ41hQoR4drAbzg3Walt9rY0MQjlEpC6lvwOnxarue7c5
2ihkxjEgT3Gyw55JUTUE0Ed8H4FssPq1dIewORsjEwDAsV0hmE/bKWkBPNfVvQzzrFlPvhsFG5WM
/meIUiy7KdeIZGOPq6QE5F9D8Q2hyUB9klaHop7Dqn5rfZdtAhAW65YtIA/ioeJubuOZH5tlC7A1
cApjrdogc1cT4y+p69XTnpXZiiycXctPnxcpY0xfnlPWJ+xYWMHCn76wKp5AcYRxBJ3F776RsPDK
VchIeG/GOGh9Jw+RJVx8/T6xrrqsXkfTXF5IksZX9qBw/7AP+Io5rVyLuG73Esbwzl6c8kvut+Kl
dEhFozVH71wo0/ewDxLO61FYbMyer2cdBR2TtrASpK7lsObCyk1IOkExTWo14yleqbJ7d2tKriaO
UtUTJjyKLYdCtUg8RZH5+ZOkocX0uQCyuZSbnJQ3ynaHOUeRNmN6Gdj81YKDK6o1FkbDilYIzDPj
BfwrfvViRIPn8HbTpNDc3Tmn5IpYxj5bmF2WaconDZ+ovDZDxjI87Q33rcaeg40v0wJsTr74EzRt
vrE56FgU5hlz+iA1jNgveVbEM1cl3jmLxdQtav4duGJJGTUt36xnLXypVMMba9NsFCnNkcurCFu+
+hRNqYnd8NzD2unWywwAPhAj2jFIpWkLIZ2nUQ68/lI/Mdp2+94Cr0a6waxluDyHpJvT3dBAECe/
ELUKZ4XDvx5dhjfHiYO+ABkGn3vkxU065+U1RTn2U20K/YfKzD913cDzmcdZAPbJ9ckRWFbHPwlR
06jli9n42KbJP1gk+thOARF8a2xWavjtDn+iYfBy2zMw8rEY8q4QvKDWy3J6wNiiHWcGT9TLM5I9
nDoFgkVUJnWDQK1a8En6o/Q1kL9te2351+8273tI905NXqpk20ndn4jnezzu/M8081y6GSngPIQh
3Ql4T63bwWVnONsXOXHxt3jF54c+5rjhZAnN64E93VMnAHr5giyfbT57i3Y2dDbu3wQVZWjf45KL
IdH/a2h0pDZM2H2a6UA1QQZrGVdN+15pCDPIp/o1SZkZrae4nR8uG4WForf56gIvtSf297rt/bXR
FSmTrZJ318mIgccaWV7SNHJLEsVYe2Vg3rZNlpYnLiO+O1u/26KsWXhauPyXXgMzMdmEl0xctsJK
q9egz1jN55Tx1TYAxfDm4bdBtCu9uTzWbcM7H/iZAX/wOE+n2mgAP182OL3eqqQwod5/Hn4uKFO4
LRqcLGY6Nl0jrfG5MtZ3b0bcA7hVhEtkB1/dnmWHN1jZU7KsdMdVgixmBV+Z2PHixeUWsiilm3YD
NdJsg1h5MFWOZ+WOlCT4Ld9RFSg2d/ytH1oswEiAPNtKfVRhShTvrdliY8Co8ujxTd8yZZNHfp3y
2hkMj7x2TwibeCjvdujj5jCOrLidvjwB+li3JrWPxF5cjehOBrarrkogwFRjaESHPAo4A1oejjwC
E8z5tljTeTNEUsgluCmfWWcp//M0xPIpSani23a1CQH8AiTPoky8RTlxoxUjMX7/y0MgzRx8D9D+
FL2TMabW/2PvPLbkNrJ1/Sp3nfGFFkzADe4kfVWWd2RxglU0gncBF8DT3y9QUh+RUlNHZ9yTXmqJ
TCSQgYi9//2bGWN68lh54Tx9+XIiP4KhDuVYbzWvmUUSH76GeHhzSuG36fCrAp1DD+Ug5zlMRHus
kRVwMNSdmmPvTQY976sJswf5+EK6RezyxkvZ8U3WlchYyurOU8oW4FrU6Hvct9h8iKuNu7sQ/ct0
EdT6B8pawdZk11F7KqUVMpZZFGxB2tEOXLTXHuWBHqfaU1w+EvLgvjnab8E2AnqAMKMNEcxEniZH
GwE7tp6Gss/j7jinYfPqxQ0vemtNBIDoO+QkokbutBuUrEkAWBveBSP918VyQPxjWtSUrdvcTLS0
TwPGW09ks/Kz9LpKWyA5YTesC/P12JwXkxXVFAZs1SDh3hdCKa8qmwhJWOrlTg4DnYx+arIZVQjL
xEL2I/XXSTzuAsMq8dYMGLhtqwQVVpFX6sFE2RjhXLI4h6ErmEK5Xcx2lGLuvEVnyu6YdBLhWMKS
H1jgEcHwqY4fmiA5o1tzyW5xw6FwH5ScEFlVk7YrN6TpvmHFxs7Cnw5fKmXSthaDIASkNuo9QdFT
cVmOHn+7GBK7fYRHN7FEopwHvejDhfmU3vuUjT9LHZNigMiM/HpactHTr8D+rc/rA3jfi3TjPuqo
lXVjlbHPibOu3SjWVFMy2ORJ+en8malgdL+uT4Gb5JEpHKHrVSvya38IWCKBOcgTORXjZRLPyPXf
F0SJ9PvXBkODcVtK/PSNDE5usUbboHd9WleFR0jdssmZbNx4DH2PVluRE+VqtAHfNLhYXlVZ1aZ3
K3YiLPeMrd/agBASgs+ySfUNGVPJ6kP5VWylYCB5nCmE5I793rqBDUSwjt4c3ISB0M4qYt4sP2o5
YXxYFIe6YdFgWs1u76TWLVw1KNTJwqI2YfsN235i0153QJET6rdjNsbDxptWH999xlNy/InXRh9A
WLbEzgwRfOzZFEiNG6NDawTEHVSD/rbZ0POaOe3MdeNmVg/vyS0NrdpLqKMPYjfmvod5RNgx2aI3
dhlJeHhlUAvBrEZepU49UczJrdVB6bmoNDNXrnEabtBzhTitWe2mFS3yqXcHipDYyMMXc2p0jofS
94ujHSw3238cAlXeIm7BOycim4H4CaxBWxNfN96dKY+zX2OHDBDfBv53PFpqsqkdXmDF8UgQDCfS
nE7LtgfyDKlQZu8lz2aec9rwg9butKijMWTOwazQrW3iFsgfrVt5kTZNdu2IzrK2nJrlBZ29OlVW
g1ARQll1HdWkfYaqoF7wbMVmSJGpdYM2MhGlut68bPXmf5lFMUBkmCTUVIOo6WAwNLgwahsUBswG
r+8ChfdjnNn8PLJs+F/8HXlIjruoOxDAaRM4DN4cqTf/dqTGKXVJ1yaBesAQhgpPtcaW0TjvjG6U
c2z7z5MT8qqGSVuhssAn/w6LZMAmu6Y+IO+bb6rWwyRK2LcXxu75t3o1Xc/DhrAifYZbRha9REHE
Clobw9iMq+ayKDIykmXPnlZj9RSdwdMkxiU1TvFhLC60cOMmVm5IFEHffWUqRVyOAxuCHozftfJs
zk8YOazWMma3WnTImc573a77ZpjlbI7Epjl4QFW8E4WuN5soDK5KiWxvh3iBPRrfiNe8UJgS9ux7
suUV6knFgLFgMCms3YMX6515WWpOIHq75GS7SfpNjJ7Znd1m4I3rDaZHbg7JA8WnrjBaMBKDk7nM
q4CYLn8x/QsaNtWfOvobBECDPNZ9NxwKnQFKr9K7b2a+WE+YzQPZuSG7EjgPj8SHzg/WFNl0EqXH
weKNs/eUgFjvlhY1auOS0iSXWG8Ha8nswqAh0wJqa1iV5oGQdjwuvLm3D1w5eUrkoJ5V4i1XiZjT
5wZDIGRKfsjuTLezHDgQ8SPyvdKEvSca446sAMhHpLkhr3AkWdh27BpfhsZxv2a42nwrqCp/rQvV
vUz2hBstdZV9tprOvLK0VqPQqg1IXwg4hlXM0bbYBu3hEbSXrqNwF9WSjzjz0g84k8aPJHiP+O6W
hGvnWiICF2a+gakYPSdwc7/U7cwnuauaJF2VJcuqMinMGLqT35sy28jw91C2/1D7/gfUPgCWf0/C
f6f2/dlsThP7+Iu/zXgwmwPasn6f8HgaRf19xqPN5mDRO7SdAlhZw/+/D3pwlMP1gjrGwYselPtf
zD5h/wKwBwffc0Jr5Qr+kznPavDxByjMJbYOfqBpQr9HDACbUMPsX94eGF11/++/rP8bYldJXldr
nAEUxntEmIQiCelelMWS7/1mAMghUOLBKTxkvzUeCxZj9YvAwhg8zuvpaYaZh94HAYzV9gHOb+bo
bnBlq7ZVbZGH7lXJPu/jh7hxiHjuR7RA2nNBVC/TkN/pYw+fnjjYGrkNBdaD142EJcRBVWdhixwB
TSsK+7GvWoqbxva3ixPjHzqNHaOLEBaV34vdPMjiq2kg+QucZ1QrvzpUmRs/Gu7ncIZGRL78sZ1c
UW2cbCgfUnTql7ictefZTwgQV22ZH0dngaxcVHiUT55/UcYKxRK2D5cCNvqBDYv5cF4vVNY8zhvp
GewzE8avu1FR6m981TqQx8xqPi2mNPfYW0CkcVv3ikb+hJTqoTEtH/+K0Louc+tcRarcZQqfhThA
w5MnZLK3bRAderMptyyYeh9UFrbQcU52ERwucuhxCsXI+rzQhhx81/CRfWbeNqph7Q3Cbw7KjlEg
qIpJE5R/DTsXy2OLl/lumpMXiIn281S63oUS/vhaWbVN4dqGOxOXgOimkbNt7ouaUHMEFQbbLMBK
5CyPlXTyfNinUx0YXzgtLJ8DvxiM5TBg+gPxqqq7ZYsHmIBuJkDnKd8oGogLDG7CODQNzItaqMkS
Mf50LJFwnMhqVke/rKDbICj0b1WJU4XBFgZPIDUw5twES+eMhGmk7hXepCajecg2eyNfNJozhiXI
4iDyG2NOncbYGaVS+CSiGtNuQPVv5kD5u1cQH9ThHES9r32E/KjqtauQdhiS725DYVen2nxIQkXK
pnucMcpj1daBH98SLUxY2wHvECyJjwKGlGYFQerznidz6MxHgyMpwDOEKV4JcBqXg7IPJrMUaGOk
WNWuqa6ntJqb9oAtVEWMOyENH2qMEu+xVyXud84AgQ52ahFYkxsxmlCLAmJrDB35gjjKGi9J7qY5
sjcfhg8xPOo6BwbGwSNsYaLFLWK51o4eqiIBQWMnwdIqw7/1JSIuubwxstm2tiVyudtlnDyS8gx/
iihzEmR5Vl9VaFus5IRnvbFPF9+Jt/iQzbg1JNiqOYZUH/K0wA3cbUHF2kTYuyIu49uWeKJbr00D
yE1NsyXvqZqOfAFUf2an8+Jbc6+qAj+HGfGoR1QqJW9Ld+S3lqaszWAeGwbQgKlZFl0kgReRz+Yz
OXE7LP7x41LuzjJAPnFPqXx+chzrAFOdft5YBCLgstj1sGH86g6XgPjoY0eQWKN7G2Zj/BQVjTo3
0AZBG414eV13+f8ciH93IDqmzTn07w/EJ1Rp37ru27c/Cv2d97/122kYWMSrkGrCsGc91H47CUPz
F/YkBwOogIH0u1Ltd5K79wtUBJNhhs30j8OKQ/J3OZr4hQMSXJ1+3w30QflPjkLhI7H741EoAubb
nIKMyxymqyjmvj8K/Vk6RjK51YWBr7KF+z+k12zcR8Y02RsmjVijWqTCTFe9Pc/bsmvnndUp5wgM
6Z/aUqQbZiMdAIzrW2QqCO8JTla+96CJ7+LY69ztJJGXxp76yH5F9vzsuM4bvuzWhd2YxXYIXZjM
SYxteuR/HaqmvxidLj7iUBPvMEptt1bEGGHBiug4jya9W+gIYhtD1R1ciLikTgRIuDL0vqJpg7dK
duXFwMZ4MFMP6AIrJbMfze2YpfGtJQm6quYUBz8sO1LN5ENKhEik/phYQ3u08Y+57MZC81Ntz/uM
/rkhqqVsihZpaRxf19gcPedZH1yB85kPwyRtoDz/fhys8NrM8PkMyjj+RNIVoYsQ906LP4y7PKW/
ZBopj5Kd+DSlZA1KZ76vm9q/kDgWHTyDk3CB6HZb+eFlXJE6U6v8zoDByYluA97PU7DHZ6reDHnr
PkocufZTK8wtQh1xFWaquxi6xThFxgI7nEn0ZdFV2DrbLZAICt+dbqavWy9BvtcGBtYG0zQ8WSns
MdvC6CqOSvfIEL882K3j8qndct+MdnftpwYsusF+8lSpvswIDPbdhP9U5Ofd/ZJDQZtmj4QZwot3
RqPmB5Fm/ucBxhbd7iezTLuj1UA0HMbY1nhh9DIGaX1gA/S+oqXP52vo4tl1jNoMmXujEiR7pIQE
2q0ac+/gBCFRHsg8RPFmIlIMsBLT1QPBKbMkZ0BW068xQ8rDoq1BYSeX1Z73RtyLeeqwV8ya5wRN
1DOq+fnN8CBV4JzomtdGnY/nQPdxNZYTzEPCpNk3MWoBnPrInIDlfhmZXnXrWGN9XUzWc6IMpJKG
I9pTMNT5vQKovgzwULi1S0naXJtC4GwKgXw4hWTvnwZjSOcDMw7mIiEHd75dBqbeMFcPWWWjRl6U
dA6JaAC24QVqsrVdnuYBG/xqCV2s4gW68S0NWgktkoKUvLjY30G8hCNjLyVTA/cUIgnbJMwXrqVn
v9VF60dXAKYqOTdW8cFLpf/AFI3gDBKRLrp0EJF9LLA+xVVgJEEn/LIIkof2cTQvHJaqu+sGOyi/
hBXpjleiAtoL+uHZBVi5k7iRQQXFuPOJhKNsH8rB2sdFFV5OtW/jJxV1dHFN4jUPjTLKjIS8eYxx
+6WYebYLAEC1c1FL9kQsen5NLmvnBp2B00Zmm1QdHs+9HJuFOJlM+8/XcWS+Lgk2mVsTR8ebdvZL
/wN1ht1KbOpn676ilIy+ZlHbMXpbwg07HCeiMMTehJfJynXzTYDj8IQ/vrBIfBp1NJ3Zh9ln34hm
4xRUIxiTWxeTsanp0nOwcx0GrMmPYPxxqUNZyanOoRWxUkz8kLCy7MFYqxb4FOMx8RV9RZ8f0Ung
CeDPEGN2DIyoHnqUJeG+cvXsfCEEFL8LjXY6GJGUCCgKUMwVtGLv44p9Tre8scMO5lDJaNphtBRW
9S0xnnbtkQHeJk5/zovJNXd1PeLe6Ss/3jMn8W7VSPiMK5idmsQD0RC7PGPmatH8ROa9faZu73Bz
r2VrbpcynI6ZcLzrKhTtBcg8771yIxKPCtFv7cHxj4NlJ8fKH4Njncj8rrKLqyVmYreRlltfqcRN
zlHT+Bga9aCvhQh8rfVPsTQeqgHbgcyzLwNfHtHjZfpdpcy0Yi/dy5hh6MH0U/ORqB7UqjYCzq0z
4XbvGVV1g2FS/RCMvneD7nl8xV7JhnPshOcZTGdTtNLa5UrEx17CjAagGTAyLrtl/tLO7WfOKHmD
noycFh+wL8XICpDWbM3HeLGiA0HawTPG4t29QMDP4QCQVpCcflv3AemRxmxejiRHflloWe/myNp1
vhdfsHVGp5KP+pj7VrojyjZ4Ha1W1aQR280pc1t19hd/uRauHQAAqnzXTHMGgdmBv97WGFXF6gCd
lck0MQXZtncAzYiYdMQ+g7Z8h5EDSuo8PHZF1Twvft1fzN44HC1Z4e49li7uKhZan6XDLWOiUbn1
URllO8nU7Jw6bPEh+OauwS58M3H9R2bs7saGgsEIO0rucGzAt3ZJ8r3IQrSn3MChAXKhEJ1Ewta4
iI+O05J4Obph8zYGdn9Nr2N9QzJSH9wea4jciqwTEJfzwVBczw7reNdYXXwAISVvqeqLm9yc2peB
9/AaJYO8c5HhXxFwWm1hTGdXkM8hjDnJeEPGGClrduGdimX81AYivZpFknyIUKTcRBGDF6wnPCqB
cmEQFeDVXZcOI0AFqr9NefPvXKY4RwT+8i3wKygGHuFisBRgLLmqxGM98C6Yuof4xCTL2aJ3/Tzh
1LdpVGliBFybF0SXfIiw7IFDjfCggKavfbucPWI/QH3TIme0isy9YCJ/7aapiQ1XR1fD6U80qeE0
O4EOgJRxq3827AGa1MBcpNsIUO/QQC7WjcqjlXRNmnZUt6l2Z+9JIQ1szIHN3LNiPs2cgsUJeKkl
iWd1RHL7OhNVAmL5xjczdgKJkRkmvyNyIf8R/DYgppTYuTROnjpvbtL7/9T3/zNKMyrSn9X3L+lf
BCu661/6rbz3UaQKj39lu9CrKOah8v5W4gfOL55P6JOWkroQX3Xm4u8lfviLgPxM10qGKGxjzLr+
VeIT1YAfWGD6EC5tm0Lzn5T4vvWnEp/LO74mVvMt6JJ/oPUFo1fXRI9YpyCYK5yyxxpnLdhDEGPm
Fhdvh641+jRX5B7y0sXJszk00PcxQDynSTzcODXBA6EcnYPrR1ZEIhsvYjLHDQdLVTzVFS73G7qf
izbqn6IxogzjuHoznYZ4kZ3kAT8TkFq92L2n7ppSDy9HpvNf3agij1FPHMUMD60yW+Z3SG0Yrjae
Pgw9Eb70Xm18y5WvnnOnLtU3+qLQzy5T7FduktrfSyzjg1hlZ6LVmuDojYhBJ0eQVrCJjUHcDL1t
WTs7qY0nQ7gUcGxJ455YeoyuUJdtujIl/4A5mbqxpEIllCcBQWIFx2bXjwGPBWe9k6Wm+Cpr4DmR
KQAoZyJC2kfBNLkHq8VkCKvoz6JcqnOMdyTsxkXsXCnyjzLrKEetSOwMRLaMMZ3pZSVfUJNRSggS
FwBwyuYuChkZ4MgIdwV/HuO174qUrUWpZ5r+hA4CsgVG0WPrv8BKJo7GR0EV7heJnhW5fgTTMQpj
ZrM+Y1D7tkWQ3B4MdNJPkm32bWgE1FwPts6riKHs4VdsPalJR9XbucWzYAZjPYU5VnCblSYSpz2j
/6LRNJjeKSh4ZM3wtUPEB9er7xj+OcTYUai7CNQ2QcLwgeluy8BlqmD5vQ/a138soGTh0dF4VEDt
sM44k5K/4zpz7l81FRx0sreYOEJJjF4yETALWc2W+lEwKiR5G8uedSoU1DkMGKBbBkQDSdAbSS4z
tbVmx9DFcBsl4cTHya/BrVQfMg9PGLQ0yJW7oyC8Lt1I1S3QCDRnZi4ZvdixxawrA+Qi7Uk/FGpL
Qm/6nCDwS2ya+AIT5328h/vN0y3HqHnF7psZWByNzEpd+mesW5VfiF3gI/G+icZiig5dH5lkCTSj
nljWUEpWpkOKzA4g6H3+XbfQRoosgxpQG9XYEclnaB6RCLRlqfL0zUN64kRYbDDNrZy0KfI6BBJe
CfFbrbP+rtcEg8GAndJwExHC1buAqAByv2soNL5mh0MQcS6mgnaPIaB2ycsmWESTzBkUA9TTVIjJ
HpejlJZ4M+cZzsY7vcCEkMqAjAYGRi+EojRzxX2cDfBkHO2Nljqp7PZo0ZjGtXbK58dOodkwmsKf
RIX3QfTZbLws+lsGxTLEp2LGdR0vQZcv6zYeq8ygWLoJJREIhAJ0FDKdp81Nc52m8Ig2kylpXeif
FAxaP5NsNrubnuiQc+jBPJ1lzf8P55SCOghjxtqG5pzl9Tq/Jqjk6BMsGyGmhVQlStMikZVs91+X
xWVFZp6h15Rlw9OMXfgcx3oYGYf6VqkGNMS52io/76ddH9rLqVu86YHTW92NGSx0h5VGmDxBZwHr
tML2NhQhUXgBUU2Ni2mxaxstfn02sOZQotvdzmiebjw96MtCpuFM9LAa1HZBMKtmgL9Cds1rL4Yu
OiD+VY8jq/iYTUF5QFOng+ZiF//UvvuSGVgW0DEzLCXpWz0GnlFufRuN38aWk+RmeABXnikM7q7M
a2ez1Djc6WE/eXtuWDHc5JGNy0mFrn+akKp8aQl4dfZWVTNBZdDLyNiGY3gRx5r4XennO6skepG+
zw4yUN1ywXK6nSxX7KF/2kDCvTNtmKZbIRWTaC4Y+DkYRAZJspWcGIgKm+qhgIulJaf4n+IOmdjP
kLuIbZnk/E34pXMZyT49ZWNgfS1cf3kJYiQPB5Mt8KqVXvrNadX0NLjufNGUVbmfsyLagmU/M+OW
L4ktuh1yvx6RLcmf8CSAOmxlFFeWqib+naoOZoCMvorN5Ru0YcTszlR0Z/xjfER0mT8TmbhEzuuc
Z925x9EazaHtWxfDIvPr0iVGFv6h1C1ij7lIymz8yo1bZiME+blumCCkDNANom1sUYH2KrihuXyw
SkYne0ZRzDNwsewsWDbs5veLjgsdyQ3tdQ+3rFGiOlR0YsCAcS9Bo9Uo2U2IHq3WFFKrqj46zD4x
j1xTSuF6OVdNXpn2cwSv+wWfbflIr32XuGP7MNu0llPcWQ+RZfmPFflhGKioPrhtEUBgxkRiqkmW
+8fYntSZGPinBeDrw6ATVklKRgztTlUd8n6ALJ9GiSc3Jhgn+NJw5hr7ruvQAXplk7h7PPPMq0nH
us5R25v3XVLXe2Xj11boANgucyQ5SXj6Nnv8wStCJ6Jk+hRRmRdbS+gUWRNaI/hHCx9oa1ii2I+E
Hm8DZfZPdpUHr6nN4I6jkACPIcOWrjSN5gLiKqt6QhGrON7PE6kSN71tfppk0F43NIc9nY5qvK2P
+/cVesJsN4rQfpxDQ5xn+GH3ueX1v+KqLT/NsLPaNxo1MnaxeSRvtyfC5SKGELVtWvkRNnZ0Dxkj
2uU6qpdSUF2NPTZSBcA+bau8HDrHuJWyByRb835BLL4V/QTNUOurI3e277O0H19BvqJdDEP8DsqE
e6uGKfY3+ZoqDIu/uQGdyK/NqLUrclZN4x7nbnfni2Ha87hAboSnLpuurD6lQ4+Os26eo6ExL3NT
vvQciftExx0D+b1aJNpkRA1fGbMrPk5TTDqyn0P2tqLOAuVNknMXC2Y+QT1cD74E2poYTvo2TBYT
fT2ZV40SV1PSC+6QHEE7gaq5ixt6Hw4/A0YTS8XE/aKcglpTLj5EmfA3ceEherVrAfGrz3cYGhWE
2o6sAxvIMaFH4qQIIdXHoiU0xdNJ0gyHTbWx7ca5D2Lh3cEq6h9rKQYOesSw3A/hdfmiCPQgprqW
ubuBzvDsmS2TRZTvO8sh1jquZher9bJ8hB9B6nVG+XGwcercKeijiGtN7afdYy+ymbskuSs1CIeh
0fxk6lDtWcdrY3vEBoXG9ZodaDylqku7XV+G9w7Qz7GpBqj+vS2aM6Lv9iFxASu3aH2nPYZFdN6J
jvkedOB3mnrmTkbeBSBIcFXn8fxsrhHh+CC+JEPyEYP1aEu/HFBQqDF+HhGGb/xOMTNuO+fS09nj
iqxjHCwS0nEHj98Bp/UJMKk0w2UbINkj91AnmY9rqHmjyDfH943TsUiQK7R+WSDjFcFLE3LjY6Pk
I1J3/9CpNsr2HIcoibMu3bV64hVAcjaVtB6SiBgnsqnJYlrmGJdvAcyF9oEcTqWz/aBaE/PH31H4
YpAYtfXZb75mLYmAKHPJBlxjAhOdGNj4EAJDGZIiqEsr1OISFTUZg8saN1jo5MFUZxBmYEgEJQfD
9dRY9i6aySBnfAp+rvMLc51kuBAV6TxzvuXXfVUAKWwxdSvvsj6Fnpa7qJRLFXsPRWg4Os49lJux
Jx+cYE7xObdsMz6EkO14gUxqQZrx/BbmzGM8FuqKxPRujxYhVKicg+i+owy4JiGCRPBqduKPBN9U
9W5xMmosEb7GGPc9LNGU4dYWJ4c2H2bitl33pq0SEmjCtjVwsHWHS6cu+rOy2vkYoCi9s9y+e0qm
8rKd2nMTLGrXhnZ7W3Z194VYAPOIGlJeMtWLEAUELxRq08HHUXf0pbjPxrnAiHOETnwgQSIuLrtk
maxDGi4LuRFCNtmWwKA625S2tzwMjtl8VnkJS4ctr4AUWzFDdgB1ga2Bd/NBGuWXWaO+Rgj+aySL
BApu0Hx/DvrmqRnmCpxYvqPGpcHmdhEp7wgU6T/UwMvNCjRXK+jsVOZbP4XNtWIGu0kD1sJFPqX4
oi/ZnO+DPEv8h9BGCvUhLfkn4tBkXkV3ddO1BxdQBOosOWDTB/j7NZlwMoj9u9hu2jtOv4u+5ASd
Tn/o5O/eRWH/pxrKuzqtepgd32uw3FVRzAgNTq2Hdlh4P8y+iPJi9hBrCpqUsM8cOlE3TeynBVnJ
11Ba6fHn13O/l2DpCwoHJzqbOaAJIvijkBHJ+ozpVVefKiYGV3jwYPvPxvyGQz+wr10PX7B2FOIm
HoPBuZASAxuiDSw45NeZmxXsfLzYe6+tYPhDN4UVaHjIZqUNcjYmPTLeHC+SjViqiLKt9LqvZmw6
IQ296JdH2zMgf4NRErY6DJSZDTzm2h2n/hE7H7c7LL2F39K28oBRPy30EyjuA0VjF0dwt1Mn1jRW
doyn0ndQwRRz95UlU/0aLGP16IQxFX3fdvz5Vb5slkKpq5jeyNB7p0mDZRFrD6V66A4hLL7uGGg2
9MwflOQBNJZ3RCzhqX1nBfXr2guvDLif/wga7fhvfaD+DXwtI4e/7qK881c92R+4PzkVcuR1Zn1y
Z90vu2lGbzDAUIgvfn4hvXr+dCEMQykDoDvZP66uQNLBEZten1Z+POAENHUYPfw+vHvirUs1iTqu
FU0IuG/zPrD/t8K4P19dC1iZ7aIwDB2UJd/PdRtjtnyCgeuTzBqGd9MU7FJkcg9WVchTrbDE3Hi9
TxPwTi3++a1b36to9UPG6MNG4m0z2gaO/eHNmjKXoPZI1idGyjSF4xQzTsEJHvVG1tE2C8vj5ldV
Sh831KimrAYavyr2ixOmw9bT+oX+Q1/4O/qCtwoi/z194UPafamrLv0upwBAUoOEv9MXvF9W2TeU
uX/Fw/6Gb4b2LxBUiSOgNAtWp75/4ZvC/8Vk1cMC5L/YoI984G8UBs3mC9kBWZTrGvlnFIbvN3HU
yrSnGGmxp/JphNv+sNBBVpOcGB7vXTwiS6z1XAv27zLPIDu9BE78+eL+qwtCXMS3QetoPUtvMH/c
QLjrxm5K9+ww89lZ45QeF61G94qAjOQZJc/Pr/f9ofF+g77weF7YJQAw/6D5DzNv6ehAxdmvE+8t
01KhVXzSuWBdP7/U95vGeil+aoBsDAZIlxA/3BrJN+C9uSXOeYmmLvWxnmAExAuMOz0s6WUJX/w8
g38cQSL/+aX/4i5ZSViCBIEJ1rDKuv/wVKeW2GnTkOLc2aANJI+xT5I0oyfCMSfKzy/2w/603igr
EPInCCjyzB8hcUU+bYnJmThPNeYcSLpQGGymzORAGHsfILFCVptcwlgBCpslorePeKUiQyICB5mi
Xf2d9v7Pt++BzOODCRfI8zkzvl9U0NHQrcWROAeT4HZDDVuZ2GMc/5fXotvHAJslzML5YUHFGe5z
CY5/MFgn9IHC6L76fakeBi2T+fmD1gvmv89A/Zw9dPgBkw7fJELkx4In7RtNJx/EeYySX99hMBsB
/s8v8lfPjk3IWi/GLvXDqkWoLsgLKsSZUKP6nAUjR0uAuePWQkvzd+4lln46P94SKdWWTRHEI/yR
MEUSrDUuGBWeMzvlJINnCdodGcCOK3YXtDkKJ2/mJdUGEnPSOxcxYdF/U1z8xQoGu2PbM/WrqkUD
3y+YyKaMibxcnBVM2kuHKApj02qpQ2N0rFCETOU+z22O+XkZcCZZX14w1/TIDvJ3jjJ/9Qvgag64
qX9p/0drgZxQbVXmZB53TH8eGHlNmxX6F40M9//8x6b+xLEctMH5UwmtmgDJnN8659Tl8YbrzMMo
FFt9oMHgn1/s+62e7VtQPJl+KDhZcJL4cfk2SQ+hpm2MywjN38KgWOIb4SBcXVYIuNJA+c+vqEnz
f1he+pLERRLs42FHzw/8p7otX4SNgU14aUYoA5kFgMJ2slMP2AOqh7SL+F1XdU8SoIVNY5DlEjeA
M5HByHPAlXAibDn+1h3kXbo5L6gjsUKFGgbRFpnlz78ys8nvvzMHP6Q7bUqDRRNjUO+HDaUKVCZU
6YjLrjDLA7HVy6FOPQJjrS4fYM2UMx4hiH9kDVKbNbO3t/iwe0nHt+K39A3AIOy9EXboXxen7L8q
xvHe5l2lZuNJkOxQeljjxrWQbcEmQXWzipgKD1DfzPhrUitjfQBPCVBkM+6ws/a11y4UgEk43WY8
wA2g7nzHBB5tsAcZ7aVfYHhskzBqrZPVuXx05ydE/pZh4uXbQqaRs4lBWIkEqVquoQWnq5lv25Il
sBGjgMCPMJTJWELq7aYRSKLQ4PcY6SOh8S4n7bXR9XGJrl5aVXKZ43z2Nc+K9tVvKru5xB+bohwk
8c6wewPtJtVw+smaQ34yfyEtNt9M6D1fCPxi7fW595ZDVcCXBYTvbbZCBO9rie2NCLFLZM9fmiWy
TwwK2wfpYd4Ort1u/TSGqM4YAp3CRNINwoWZYZcBwHpGo4iHR4Ts0FFCPRTYf7zMwk6Pq+GN7OA4
rIqznjEUgkAQ8Qdg3+XFHjEaakLB70RIICM5JbuveRnb9saD8b9fughoNICl9zI0M38KxhUGwlHF
p5RaRrf0PDcobjQh6ylXcVJDTiFyjdlcIjPdCEB6mH1fC88SkMZNWc2Lf5nowmT13FnF9CaDkocc
dwwFCG0gA14Fz23asmoA9tw338t5mnOWNSQn1gzBt6MZ+d7lKg0z0Kt2x06MWL7YTJ/breP6JIXL
nnPRqxPev9qMZzKnlsC6SQyMLHazWzI5Q6CPEpGBgZ6RrvQtq3JYyyMSrpcO9JYGtx/I4jbQXzaW
juLr4Xmrw0zSOeTaykWv18AHu15IKI63VoolC9bB7punHYPphiSJAPDc5GPsLPZpWUCJd3bsiU/V
OFZPwZLO1zgxF7u2U7W1yQx0ugcrNeVlWtQjuLUec3aFwku6WuphZ3aRh9p2IZQZ7jEoDXEm801A
L3cuRVKDZOUhMe9uh3AfGwMgzWV+ykPTBddMGlIBTc1nYU1is4mE5h4JaADAGg0lAkDZ/xqIBTKd
7Q83oedi/wm8Dg90yNmZtotWaU9mA+7WY+D00cOztzvA4vO+qMWHbgUt/wrrEhkftDETjL2hAdHN
6uo41kN9A8fdwn176ZJPsXbUgCmFM7+XgEZVc3S2iL5rj0E3ea8NitkDDPzlkxdP9SWJyvGMg5tY
PgFU5Xv4owuYysjPGEQulq/5VH3KmHz1O7ximC+Y0j/qYhS8QuFhspOyNPYtNeAGTlR5gMnT640J
VT/pAg8DEt4L7Kmai0ziETm7w/wtiutpnxipgRKnLj+m+UiqzkyOOq6kOE63XQoGL98Q8fB+IFzf
RQQ4bYdRWoeyqfmgwEBPjgEJuEJUMweSsMZ2no+fBAB4C9sDk1G4I3Gtf/lmuqLSDU5MUWd3V6Xj
tBFRxIVEEUY70PMEkXvTIbOHSLDUs7G3y3p4biAyNNux6g6Dm88ov/8/d2fXnLaShOG/4so9KUkI
fVzkVC02NomNnTjHOfHeUDLIaEAgodEX/Pp9RkCO5Q82e6QL1+rS4NbQ6unWdL/9tjYJbRn9dENh
gIbVGXHaYep9FrIOl/E934hKW/hfce9Xlrku4JnVeKI2rEJX9BOuvmppFsMfmmLUHebTpV5FA9Ax
5mwJqagaBlGcGvNLq1RtoQAuKHzjbdPpLNFwSNEWBMJG22KyALZdqoyguAdOVvZAbomgpEE6Wmtw
wkCtsT2Fyie6H+sQYFQdrPaGrEYqXeKxk/XGoAYME2xJEippehnLix2vHt5YUVxGeNuSc5SU0FSc
WTmNmHlssvWzoLcemiVE4MOKTCKOMdvTyIZ3GGKNVXhvROsZ73MBkFK9GxkROLpAQmHZmwdO/LiJ
c1NRhUCKGgKSGKzmZuHDMcXA1N6i0/uLoV/u5yRw5TAEkBP0V+VMZH0AEsGDzFNvTpv0oGcyNuEU
guG1/BluO1nnO4TkUXfoGIFzndP9emqFdAUFRbEezkn/nW8chRx0Z0u7D0l5cZf3kuUtlAOPRrj9
WRqmfrNIDRpRrRDCUcMFwWtSupvO0mA23QpRfJ9lNk+OHc9I+pzJn1ALQEvfzwOh2rNCaX+BwVZG
Z2UR0qUlySJuIJqXs2LIYC4N4HO0Ga0l4/0syIGZwbZcZHrf4ikwK8mGNQJwQwlnvJ6Go5JE6w0Y
iPCGlpjsdimc9WkS6XJi5p1wEAE3fIhcK79MrXgLQmRsCKsvnS7cyQFsSEW2LSgsr0PcBRNC4DJ2
zC/QDz2M407xvUhnC3jxMm0Ej3nv34vCYv5LQhGEWKkGtdGTPrt2aYIdJSXk+R23YHhfkM+kZ4gi
viSnCVqX1PclHYhg3s1ULpMLHZdHaXoFih9WRINxwubYLs8DuP3+tBYxNdEV3WKxCMZX2ibbfksD
xuS5+ay4z8J0nQ00KU3xpRRl2TsFz9iBdH1cOItrqwT7e+EGmRxyyu1cze1tdKeJxGCI7AKoQN/o
2NqCPmenuC6I8I96vpajLI7zC5Ahm0vSaMvwLHaDMV34OseLAOd2wZxSXUARE0OeMsvt/NvMyAuw
ufMxs3zpa0juF2XaBTkf9q4YCIsbpe7lAk9kCmNxBow9GwOJjIxRam+2vT6MaJBdO6Ft4hD1wo8M
Kxufu531lt5++rVNc20MaJIEF5HZ4lYu9fVdpm/kDweQxyAvtyDe5yWFFtsyYYulcgqb/tw+68aF
LahAboMphFvEoVTbMFi4w4BgRhbRcJ5vOafQSWUn1DbH4ga+t/JOS4oOkMwUciTRXXfPnU43oTYT
r3rna2nTRRIZwpUXGbb7yBS58q/Y6aaTokdbSWEx+Otci60MlnGGrzKQJApt2Ksd+vChZl8DUwtg
JxvaafzYC8rZVzlf0tm4FTJlXknJhMkooqMQICvzuU3KBQC4V8lNB5LdgaFZ4/TMnanGje2mLKmS
RTYMteTcnctFBm1yh9bDnwyejYBOzbbzG+AfttYfg5+6WblhmPZXIBQgAu3y1Eiq6+ZwGRdhmf0o
g3U53g8+/7/Jhe5/iJqnOqggnN8yP9nc+pIdIw8DPdSnVVnnz+iffem4oBP/CXh0EmWrVK0Aaola
ntRQCbJabrVaUrXeYxJCLxVpNvU/fei6H3sa75OqIFRdYDfDiHGLu487Lty3MF9a6mhdXbsbPlHR
W0o4/vt22jz+ndov8KZLAbGcTBMxSZ+2ulEYIvn/O0p4JuKJEsyPJIooV9DkWV2ciWtKIF9MlY6k
JGcqdZF+4IbvSQkgz37TFN7WgvHRohvPMV2FCeZCrU+1AJbYJMdCum6vBUzlnWmBuXu7Re2qVL/2
6MsN8bYWNNobUQDkODtbcOtacHVsRQcV7ah0ONf72xAkjBvvCAe+AxPqYZVLe8UWXOcj8HCdLbPf
MRAYvC9bMEzDbWwLsHvTqWdSEn9dCzbO0+lqVHF3toCtvDMt6D3VDcCiGuwInrUFol41AlcXAp/6
BWpwzKOjmKES4Or6H7zjb7jQXxH3NBDhtIq1wpevheS3vnD48S8/30eYz9NPH1QorX1RFTZ39/47
FP9RcxtVAHjy4SEgVPfZ//v+B768de1eh191+ONQ+ImXTJjlV70F7Jd57S2J2P8KvQdvSclwd2e1
dp4Lpv73Sj59qK3zyfP/L4Ll4plcVZppLDeBdLw+hY26D0bSXPDCW0lPHiRVqqjeBppKPvVC8Rgl
z+a8Ap5lgzeWDVQ88abRQZJaNbQypLSbS4YJYJKKSVZ7QcI58T7TVPiZH3qFl/gHSWrZjtMl0DSW
vH+pO4keTwCHZcsHUbNC4FEtWOE5WhfTmmCdXmt8WdP1X/gRHVp1ybvXsaaSh2hciMMKK/PuVnxF
TQV/nnpBzQChe1FdW43lwmy6ikR9R4LjbsH+Pq+mwnvmRVS3WwuLjor6wzPhnm8u9vKlb9q9mDVV
8iUCsslic1hiZRe8ubewSa6iTMgXat69VTdd9sgTq5r3ICXcRngZeWSLvNX0qTogLWnjEY48Kb0J
KTA/TWs2TdHbbGG7jMQkEDOvfqTXdTXeorG2hWKFidKaZRtwpLWwYUZCAjeXNFfXfBMNblpL0qMs
eS66lYVHq/SZD1Fldbe5uq/9hwQy8Lq2DcdqRXTu1eMWdHLdFl6frv3iZOgtYwm3WG1jIt9twQEq
+V/8RPqbg36Vp6IIpNjumtq3Ej7ySzGphTGEtxHRlfB72jcOy9yv29IPf3gV9PjrkHXsJfuaoYyv
TyY2upbe2g1e8iMiXuGSmur9JhB1jZtYSwtiFyFvJPVTzf4E33jFiT97njUFdNd8zV8h3pKbMPee
HROA9BktBIfbIJr6J5/li9hmW4owoKladjyax0ZkP0lA/5Pj5O4GLw3xQNTZUPxR2rPGssv6qbLL
olvwuHepFxyenPIpcMEYLcT6H36yJLLVJBOKW4jFx7gnGur4+KS+psJ9mZ68ungaP1o4jBwFrTdd
O0NfoJarPU0LePXhD2/FntcyTb9qFC/zT4cCzGv/Vk+uqW9MQt9L/vgPAAAA//8=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24</xdr:col>
      <xdr:colOff>45720</xdr:colOff>
      <xdr:row>57</xdr:row>
      <xdr:rowOff>45720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BA22013A-49FE-D826-D059-D700F819C652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82880"/>
          <a:ext cx="13716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24</xdr:col>
      <xdr:colOff>45720</xdr:colOff>
      <xdr:row>113</xdr:row>
      <xdr:rowOff>45720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ED3D789A-CA19-2069-3FC8-96212B70BE24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0424160"/>
          <a:ext cx="13716000" cy="1028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117</xdr:row>
      <xdr:rowOff>0</xdr:rowOff>
    </xdr:from>
    <xdr:to>
      <xdr:col>20</xdr:col>
      <xdr:colOff>220980</xdr:colOff>
      <xdr:row>146</xdr:row>
      <xdr:rowOff>144780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EB991191-CAF2-1AA0-41DB-DE2EB0EEFC81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1396960"/>
          <a:ext cx="11452860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147</xdr:row>
      <xdr:rowOff>0</xdr:rowOff>
    </xdr:from>
    <xdr:to>
      <xdr:col>30</xdr:col>
      <xdr:colOff>548640</xdr:colOff>
      <xdr:row>187</xdr:row>
      <xdr:rowOff>38100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7D3FA32-9ED0-329F-AF12-3366AB7C0FD2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6883360"/>
          <a:ext cx="17876520" cy="735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188</xdr:row>
      <xdr:rowOff>0</xdr:rowOff>
    </xdr:from>
    <xdr:to>
      <xdr:col>31</xdr:col>
      <xdr:colOff>274320</xdr:colOff>
      <xdr:row>216</xdr:row>
      <xdr:rowOff>53340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8034B8E8-8E94-7A22-2A24-8CECF2E64537}"/>
            </a:ext>
          </a:extLst>
        </xdr:cNvPr>
        <xdr:cNvSpPr>
          <a:spLocks noChangeAspect="1" noChangeArrowheads="1"/>
        </xdr:cNvSpPr>
      </xdr:nvSpPr>
      <xdr:spPr bwMode="auto">
        <a:xfrm>
          <a:off x="4152900" y="34381440"/>
          <a:ext cx="18211800" cy="517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217</xdr:row>
      <xdr:rowOff>0</xdr:rowOff>
    </xdr:from>
    <xdr:to>
      <xdr:col>29</xdr:col>
      <xdr:colOff>457200</xdr:colOff>
      <xdr:row>255</xdr:row>
      <xdr:rowOff>167640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2A837E90-3CE2-AD13-4D9B-B32DEDA41448}"/>
            </a:ext>
          </a:extLst>
        </xdr:cNvPr>
        <xdr:cNvSpPr>
          <a:spLocks noChangeAspect="1" noChangeArrowheads="1"/>
        </xdr:cNvSpPr>
      </xdr:nvSpPr>
      <xdr:spPr bwMode="auto">
        <a:xfrm>
          <a:off x="4152900" y="39684960"/>
          <a:ext cx="17175480" cy="7117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256</xdr:row>
      <xdr:rowOff>0</xdr:rowOff>
    </xdr:from>
    <xdr:to>
      <xdr:col>19</xdr:col>
      <xdr:colOff>541020</xdr:colOff>
      <xdr:row>303</xdr:row>
      <xdr:rowOff>129540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1311C131-4D44-F7B5-93F2-B9722FD8B002}"/>
            </a:ext>
          </a:extLst>
        </xdr:cNvPr>
        <xdr:cNvSpPr>
          <a:spLocks noChangeAspect="1" noChangeArrowheads="1"/>
        </xdr:cNvSpPr>
      </xdr:nvSpPr>
      <xdr:spPr bwMode="auto">
        <a:xfrm>
          <a:off x="4152900" y="46817280"/>
          <a:ext cx="11163300" cy="872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310</xdr:row>
      <xdr:rowOff>0</xdr:rowOff>
    </xdr:from>
    <xdr:to>
      <xdr:col>8</xdr:col>
      <xdr:colOff>243840</xdr:colOff>
      <xdr:row>335</xdr:row>
      <xdr:rowOff>30480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ADA22C8D-2C8D-9FC0-778B-BD4D4A969FFF}"/>
            </a:ext>
          </a:extLst>
        </xdr:cNvPr>
        <xdr:cNvSpPr>
          <a:spLocks noChangeAspect="1" noChangeArrowheads="1"/>
        </xdr:cNvSpPr>
      </xdr:nvSpPr>
      <xdr:spPr bwMode="auto">
        <a:xfrm>
          <a:off x="4152900" y="56692800"/>
          <a:ext cx="4160520" cy="4602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335</xdr:row>
      <xdr:rowOff>0</xdr:rowOff>
    </xdr:from>
    <xdr:to>
      <xdr:col>14</xdr:col>
      <xdr:colOff>579120</xdr:colOff>
      <xdr:row>365</xdr:row>
      <xdr:rowOff>152400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7720DCE0-634A-CDA8-0475-0E04715F7316}"/>
            </a:ext>
          </a:extLst>
        </xdr:cNvPr>
        <xdr:cNvSpPr>
          <a:spLocks noChangeAspect="1" noChangeArrowheads="1"/>
        </xdr:cNvSpPr>
      </xdr:nvSpPr>
      <xdr:spPr bwMode="auto">
        <a:xfrm>
          <a:off x="4152900" y="61264800"/>
          <a:ext cx="8153400" cy="563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365</xdr:row>
      <xdr:rowOff>0</xdr:rowOff>
    </xdr:from>
    <xdr:to>
      <xdr:col>9</xdr:col>
      <xdr:colOff>601980</xdr:colOff>
      <xdr:row>379</xdr:row>
      <xdr:rowOff>167640</xdr:rowOff>
    </xdr:to>
    <xdr:sp macro="" textlink="">
      <xdr:nvSpPr>
        <xdr:cNvPr id="4106" name="AutoShape 10">
          <a:extLst>
            <a:ext uri="{FF2B5EF4-FFF2-40B4-BE49-F238E27FC236}">
              <a16:creationId xmlns:a16="http://schemas.microsoft.com/office/drawing/2014/main" id="{FADAD1DE-B90C-7925-984F-E6B25207A838}"/>
            </a:ext>
          </a:extLst>
        </xdr:cNvPr>
        <xdr:cNvSpPr>
          <a:spLocks noChangeAspect="1" noChangeArrowheads="1"/>
        </xdr:cNvSpPr>
      </xdr:nvSpPr>
      <xdr:spPr bwMode="auto">
        <a:xfrm>
          <a:off x="4152900" y="66751200"/>
          <a:ext cx="5128260" cy="272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380</xdr:row>
      <xdr:rowOff>0</xdr:rowOff>
    </xdr:from>
    <xdr:to>
      <xdr:col>9</xdr:col>
      <xdr:colOff>381000</xdr:colOff>
      <xdr:row>394</xdr:row>
      <xdr:rowOff>137160</xdr:rowOff>
    </xdr:to>
    <xdr:sp macro="" textlink="">
      <xdr:nvSpPr>
        <xdr:cNvPr id="4107" name="AutoShape 11">
          <a:extLst>
            <a:ext uri="{FF2B5EF4-FFF2-40B4-BE49-F238E27FC236}">
              <a16:creationId xmlns:a16="http://schemas.microsoft.com/office/drawing/2014/main" id="{13F0D594-7985-24D9-1808-E6F442313B21}"/>
            </a:ext>
          </a:extLst>
        </xdr:cNvPr>
        <xdr:cNvSpPr>
          <a:spLocks noChangeAspect="1" noChangeArrowheads="1"/>
        </xdr:cNvSpPr>
      </xdr:nvSpPr>
      <xdr:spPr bwMode="auto">
        <a:xfrm>
          <a:off x="4152900" y="69494400"/>
          <a:ext cx="4907280" cy="269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394</xdr:row>
      <xdr:rowOff>0</xdr:rowOff>
    </xdr:from>
    <xdr:to>
      <xdr:col>8</xdr:col>
      <xdr:colOff>472440</xdr:colOff>
      <xdr:row>426</xdr:row>
      <xdr:rowOff>38100</xdr:rowOff>
    </xdr:to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3642BFE9-3865-4798-0CAF-36CB1B9D4D6C}"/>
            </a:ext>
          </a:extLst>
        </xdr:cNvPr>
        <xdr:cNvSpPr>
          <a:spLocks noChangeAspect="1" noChangeArrowheads="1"/>
        </xdr:cNvSpPr>
      </xdr:nvSpPr>
      <xdr:spPr bwMode="auto">
        <a:xfrm>
          <a:off x="4152900" y="72054720"/>
          <a:ext cx="4389120" cy="589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426</xdr:row>
      <xdr:rowOff>0</xdr:rowOff>
    </xdr:from>
    <xdr:to>
      <xdr:col>28</xdr:col>
      <xdr:colOff>236220</xdr:colOff>
      <xdr:row>464</xdr:row>
      <xdr:rowOff>68580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BF7D37D0-9B41-D9BB-FC90-081018154D40}"/>
            </a:ext>
          </a:extLst>
        </xdr:cNvPr>
        <xdr:cNvSpPr>
          <a:spLocks noChangeAspect="1" noChangeArrowheads="1"/>
        </xdr:cNvSpPr>
      </xdr:nvSpPr>
      <xdr:spPr bwMode="auto">
        <a:xfrm>
          <a:off x="4152900" y="77906880"/>
          <a:ext cx="16344900" cy="7018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479</xdr:row>
      <xdr:rowOff>0</xdr:rowOff>
    </xdr:from>
    <xdr:to>
      <xdr:col>10</xdr:col>
      <xdr:colOff>487680</xdr:colOff>
      <xdr:row>508</xdr:row>
      <xdr:rowOff>152400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A653BB2A-6DA9-8206-05BE-AA4789A4F66C}"/>
            </a:ext>
          </a:extLst>
        </xdr:cNvPr>
        <xdr:cNvSpPr>
          <a:spLocks noChangeAspect="1" noChangeArrowheads="1"/>
        </xdr:cNvSpPr>
      </xdr:nvSpPr>
      <xdr:spPr bwMode="auto">
        <a:xfrm>
          <a:off x="4152900" y="87828120"/>
          <a:ext cx="5623560" cy="545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517</xdr:row>
      <xdr:rowOff>0</xdr:rowOff>
    </xdr:from>
    <xdr:to>
      <xdr:col>24</xdr:col>
      <xdr:colOff>106680</xdr:colOff>
      <xdr:row>549</xdr:row>
      <xdr:rowOff>167640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700E4BEA-4947-E613-EA5B-3A5FF6C365B1}"/>
            </a:ext>
          </a:extLst>
        </xdr:cNvPr>
        <xdr:cNvSpPr>
          <a:spLocks noChangeAspect="1" noChangeArrowheads="1"/>
        </xdr:cNvSpPr>
      </xdr:nvSpPr>
      <xdr:spPr bwMode="auto">
        <a:xfrm>
          <a:off x="4152900" y="94823280"/>
          <a:ext cx="13776960" cy="601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549</xdr:row>
      <xdr:rowOff>0</xdr:rowOff>
    </xdr:from>
    <xdr:to>
      <xdr:col>23</xdr:col>
      <xdr:colOff>228600</xdr:colOff>
      <xdr:row>584</xdr:row>
      <xdr:rowOff>152400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1015A712-1079-76ED-1A1F-74A32C6FE0AC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00675440"/>
          <a:ext cx="13289280" cy="655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584</xdr:row>
      <xdr:rowOff>0</xdr:rowOff>
    </xdr:from>
    <xdr:to>
      <xdr:col>30</xdr:col>
      <xdr:colOff>601980</xdr:colOff>
      <xdr:row>617</xdr:row>
      <xdr:rowOff>106680</xdr:rowOff>
    </xdr:to>
    <xdr:sp macro="" textlink="">
      <xdr:nvSpPr>
        <xdr:cNvPr id="4113" name="AutoShape 17">
          <a:extLst>
            <a:ext uri="{FF2B5EF4-FFF2-40B4-BE49-F238E27FC236}">
              <a16:creationId xmlns:a16="http://schemas.microsoft.com/office/drawing/2014/main" id="{58746F5F-B6BD-922D-0A67-7DFB7D4F534D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07076240"/>
          <a:ext cx="17929860" cy="6141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618</xdr:row>
      <xdr:rowOff>0</xdr:rowOff>
    </xdr:from>
    <xdr:to>
      <xdr:col>30</xdr:col>
      <xdr:colOff>601980</xdr:colOff>
      <xdr:row>651</xdr:row>
      <xdr:rowOff>106680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FE0CE4CE-DBA2-BE72-77CB-D7D65A1DAF8B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13294160"/>
          <a:ext cx="17929860" cy="6141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652</xdr:row>
      <xdr:rowOff>0</xdr:rowOff>
    </xdr:from>
    <xdr:to>
      <xdr:col>11</xdr:col>
      <xdr:colOff>548640</xdr:colOff>
      <xdr:row>688</xdr:row>
      <xdr:rowOff>152400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6DEF0138-B36B-EE20-6498-014A9CE4BAB1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19512080"/>
          <a:ext cx="6294120" cy="673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689</xdr:row>
      <xdr:rowOff>0</xdr:rowOff>
    </xdr:from>
    <xdr:to>
      <xdr:col>21</xdr:col>
      <xdr:colOff>182880</xdr:colOff>
      <xdr:row>709</xdr:row>
      <xdr:rowOff>160020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5BEAC2B4-9E27-24AF-BC4A-95D00D5A6F62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26278640"/>
          <a:ext cx="12024360" cy="381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710</xdr:row>
      <xdr:rowOff>0</xdr:rowOff>
    </xdr:from>
    <xdr:to>
      <xdr:col>24</xdr:col>
      <xdr:colOff>205740</xdr:colOff>
      <xdr:row>735</xdr:row>
      <xdr:rowOff>160020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E6EE3EA7-8097-01E9-7357-9D6D84F9CBE3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30119120"/>
          <a:ext cx="13876020" cy="473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738</xdr:row>
      <xdr:rowOff>0</xdr:rowOff>
    </xdr:from>
    <xdr:to>
      <xdr:col>29</xdr:col>
      <xdr:colOff>114300</xdr:colOff>
      <xdr:row>766</xdr:row>
      <xdr:rowOff>45720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8E7341CF-4264-DD79-A065-629DB61BB28E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35239760"/>
          <a:ext cx="16832580" cy="5166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766</xdr:row>
      <xdr:rowOff>0</xdr:rowOff>
    </xdr:from>
    <xdr:to>
      <xdr:col>26</xdr:col>
      <xdr:colOff>358140</xdr:colOff>
      <xdr:row>793</xdr:row>
      <xdr:rowOff>129540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6C4D438A-0697-D87C-C463-F32A04D86CE1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40360400"/>
          <a:ext cx="1524762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794</xdr:row>
      <xdr:rowOff>0</xdr:rowOff>
    </xdr:from>
    <xdr:to>
      <xdr:col>28</xdr:col>
      <xdr:colOff>205740</xdr:colOff>
      <xdr:row>843</xdr:row>
      <xdr:rowOff>0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54FA1269-A929-EB3D-2480-BFEB051FE4D2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45481040"/>
          <a:ext cx="16314420" cy="8961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844</xdr:row>
      <xdr:rowOff>0</xdr:rowOff>
    </xdr:from>
    <xdr:to>
      <xdr:col>16</xdr:col>
      <xdr:colOff>411480</xdr:colOff>
      <xdr:row>883</xdr:row>
      <xdr:rowOff>76200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40A1490C-E4C1-EABC-38AE-05F7712810B4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54625040"/>
          <a:ext cx="9204960" cy="7208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883</xdr:row>
      <xdr:rowOff>0</xdr:rowOff>
    </xdr:from>
    <xdr:to>
      <xdr:col>15</xdr:col>
      <xdr:colOff>502920</xdr:colOff>
      <xdr:row>915</xdr:row>
      <xdr:rowOff>22860</xdr:rowOff>
    </xdr:to>
    <xdr:sp macro="" textlink="">
      <xdr:nvSpPr>
        <xdr:cNvPr id="4122" name="AutoShape 26">
          <a:extLst>
            <a:ext uri="{FF2B5EF4-FFF2-40B4-BE49-F238E27FC236}">
              <a16:creationId xmlns:a16="http://schemas.microsoft.com/office/drawing/2014/main" id="{ACD93178-A5BD-480B-F338-098DF0C05EC9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61757360"/>
          <a:ext cx="8686800" cy="5875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915</xdr:row>
      <xdr:rowOff>0</xdr:rowOff>
    </xdr:from>
    <xdr:to>
      <xdr:col>19</xdr:col>
      <xdr:colOff>167640</xdr:colOff>
      <xdr:row>960</xdr:row>
      <xdr:rowOff>22860</xdr:rowOff>
    </xdr:to>
    <xdr:sp macro="" textlink="">
      <xdr:nvSpPr>
        <xdr:cNvPr id="4123" name="AutoShape 27">
          <a:extLst>
            <a:ext uri="{FF2B5EF4-FFF2-40B4-BE49-F238E27FC236}">
              <a16:creationId xmlns:a16="http://schemas.microsoft.com/office/drawing/2014/main" id="{5A3B1EFC-3D96-159A-A053-A04CDD28A1DF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67609520"/>
          <a:ext cx="10789920" cy="825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961</xdr:row>
      <xdr:rowOff>0</xdr:rowOff>
    </xdr:from>
    <xdr:to>
      <xdr:col>12</xdr:col>
      <xdr:colOff>45720</xdr:colOff>
      <xdr:row>989</xdr:row>
      <xdr:rowOff>144780</xdr:rowOff>
    </xdr:to>
    <xdr:sp macro="" textlink="">
      <xdr:nvSpPr>
        <xdr:cNvPr id="4124" name="AutoShape 28">
          <a:extLst>
            <a:ext uri="{FF2B5EF4-FFF2-40B4-BE49-F238E27FC236}">
              <a16:creationId xmlns:a16="http://schemas.microsoft.com/office/drawing/2014/main" id="{D1159D57-CC71-661D-F8ED-F7D30FF9CCC8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76022000"/>
          <a:ext cx="6400800" cy="526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989</xdr:row>
      <xdr:rowOff>0</xdr:rowOff>
    </xdr:from>
    <xdr:to>
      <xdr:col>8</xdr:col>
      <xdr:colOff>228600</xdr:colOff>
      <xdr:row>1013</xdr:row>
      <xdr:rowOff>53340</xdr:rowOff>
    </xdr:to>
    <xdr:sp macro="" textlink="">
      <xdr:nvSpPr>
        <xdr:cNvPr id="4125" name="AutoShape 29">
          <a:extLst>
            <a:ext uri="{FF2B5EF4-FFF2-40B4-BE49-F238E27FC236}">
              <a16:creationId xmlns:a16="http://schemas.microsoft.com/office/drawing/2014/main" id="{7E54C27E-9607-576F-C681-8A9F65E6A49D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81142640"/>
          <a:ext cx="4145280" cy="444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1013</xdr:row>
      <xdr:rowOff>0</xdr:rowOff>
    </xdr:from>
    <xdr:to>
      <xdr:col>19</xdr:col>
      <xdr:colOff>472440</xdr:colOff>
      <xdr:row>1041</xdr:row>
      <xdr:rowOff>121920</xdr:rowOff>
    </xdr:to>
    <xdr:sp macro="" textlink="">
      <xdr:nvSpPr>
        <xdr:cNvPr id="4126" name="AutoShape 30">
          <a:extLst>
            <a:ext uri="{FF2B5EF4-FFF2-40B4-BE49-F238E27FC236}">
              <a16:creationId xmlns:a16="http://schemas.microsoft.com/office/drawing/2014/main" id="{B53D5560-7017-08DC-270E-256436452A39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85531760"/>
          <a:ext cx="11094720" cy="524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1041</xdr:row>
      <xdr:rowOff>0</xdr:rowOff>
    </xdr:from>
    <xdr:to>
      <xdr:col>23</xdr:col>
      <xdr:colOff>182880</xdr:colOff>
      <xdr:row>1067</xdr:row>
      <xdr:rowOff>167640</xdr:rowOff>
    </xdr:to>
    <xdr:sp macro="" textlink="">
      <xdr:nvSpPr>
        <xdr:cNvPr id="4127" name="AutoShape 31">
          <a:extLst>
            <a:ext uri="{FF2B5EF4-FFF2-40B4-BE49-F238E27FC236}">
              <a16:creationId xmlns:a16="http://schemas.microsoft.com/office/drawing/2014/main" id="{DA47137A-0C09-3ACA-B2B9-6B3FCB69B3B5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90652400"/>
          <a:ext cx="13243560" cy="492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1067</xdr:row>
      <xdr:rowOff>0</xdr:rowOff>
    </xdr:from>
    <xdr:to>
      <xdr:col>23</xdr:col>
      <xdr:colOff>182880</xdr:colOff>
      <xdr:row>1093</xdr:row>
      <xdr:rowOff>167640</xdr:rowOff>
    </xdr:to>
    <xdr:sp macro="" textlink="">
      <xdr:nvSpPr>
        <xdr:cNvPr id="4128" name="AutoShape 32">
          <a:extLst>
            <a:ext uri="{FF2B5EF4-FFF2-40B4-BE49-F238E27FC236}">
              <a16:creationId xmlns:a16="http://schemas.microsoft.com/office/drawing/2014/main" id="{9189B8A4-D3B6-CA57-C003-425EB283699B}"/>
            </a:ext>
          </a:extLst>
        </xdr:cNvPr>
        <xdr:cNvSpPr>
          <a:spLocks noChangeAspect="1" noChangeArrowheads="1"/>
        </xdr:cNvSpPr>
      </xdr:nvSpPr>
      <xdr:spPr bwMode="auto">
        <a:xfrm>
          <a:off x="4152900" y="195407280"/>
          <a:ext cx="13243560" cy="492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1094</xdr:row>
      <xdr:rowOff>0</xdr:rowOff>
    </xdr:from>
    <xdr:to>
      <xdr:col>14</xdr:col>
      <xdr:colOff>487680</xdr:colOff>
      <xdr:row>1114</xdr:row>
      <xdr:rowOff>7620</xdr:rowOff>
    </xdr:to>
    <xdr:sp macro="" textlink="">
      <xdr:nvSpPr>
        <xdr:cNvPr id="4129" name="AutoShape 33">
          <a:extLst>
            <a:ext uri="{FF2B5EF4-FFF2-40B4-BE49-F238E27FC236}">
              <a16:creationId xmlns:a16="http://schemas.microsoft.com/office/drawing/2014/main" id="{9060DA3A-6607-3190-04CD-40EA7B58A18B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00345040"/>
          <a:ext cx="806196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1114</xdr:row>
      <xdr:rowOff>0</xdr:rowOff>
    </xdr:from>
    <xdr:to>
      <xdr:col>14</xdr:col>
      <xdr:colOff>487680</xdr:colOff>
      <xdr:row>1134</xdr:row>
      <xdr:rowOff>7620</xdr:rowOff>
    </xdr:to>
    <xdr:sp macro="" textlink="">
      <xdr:nvSpPr>
        <xdr:cNvPr id="4130" name="AutoShape 34">
          <a:extLst>
            <a:ext uri="{FF2B5EF4-FFF2-40B4-BE49-F238E27FC236}">
              <a16:creationId xmlns:a16="http://schemas.microsoft.com/office/drawing/2014/main" id="{52B1EB56-DD32-E30E-0A42-3F2F6162DD16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04002640"/>
          <a:ext cx="8061960" cy="3665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1134</xdr:row>
      <xdr:rowOff>0</xdr:rowOff>
    </xdr:from>
    <xdr:to>
      <xdr:col>24</xdr:col>
      <xdr:colOff>144780</xdr:colOff>
      <xdr:row>1157</xdr:row>
      <xdr:rowOff>45720</xdr:rowOff>
    </xdr:to>
    <xdr:sp macro="" textlink="">
      <xdr:nvSpPr>
        <xdr:cNvPr id="4131" name="AutoShape 35">
          <a:extLst>
            <a:ext uri="{FF2B5EF4-FFF2-40B4-BE49-F238E27FC236}">
              <a16:creationId xmlns:a16="http://schemas.microsoft.com/office/drawing/2014/main" id="{17A3E3E8-6424-432C-E432-6CD29732550B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07660240"/>
          <a:ext cx="13815060" cy="425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1157</xdr:row>
      <xdr:rowOff>0</xdr:rowOff>
    </xdr:from>
    <xdr:to>
      <xdr:col>26</xdr:col>
      <xdr:colOff>419100</xdr:colOff>
      <xdr:row>1188</xdr:row>
      <xdr:rowOff>76200</xdr:rowOff>
    </xdr:to>
    <xdr:sp macro="" textlink="">
      <xdr:nvSpPr>
        <xdr:cNvPr id="4132" name="AutoShape 36">
          <a:extLst>
            <a:ext uri="{FF2B5EF4-FFF2-40B4-BE49-F238E27FC236}">
              <a16:creationId xmlns:a16="http://schemas.microsoft.com/office/drawing/2014/main" id="{21781F71-F413-B687-2FAF-CDBB9D9FF5B8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11866480"/>
          <a:ext cx="15308580" cy="5745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1188</xdr:row>
      <xdr:rowOff>0</xdr:rowOff>
    </xdr:from>
    <xdr:to>
      <xdr:col>23</xdr:col>
      <xdr:colOff>586740</xdr:colOff>
      <xdr:row>1222</xdr:row>
      <xdr:rowOff>91440</xdr:rowOff>
    </xdr:to>
    <xdr:sp macro="" textlink="">
      <xdr:nvSpPr>
        <xdr:cNvPr id="4133" name="AutoShape 37">
          <a:extLst>
            <a:ext uri="{FF2B5EF4-FFF2-40B4-BE49-F238E27FC236}">
              <a16:creationId xmlns:a16="http://schemas.microsoft.com/office/drawing/2014/main" id="{21327059-79F7-CA0B-0871-56612AD4CC02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17535760"/>
          <a:ext cx="13647420" cy="6309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1222</xdr:row>
      <xdr:rowOff>0</xdr:rowOff>
    </xdr:from>
    <xdr:to>
      <xdr:col>15</xdr:col>
      <xdr:colOff>160020</xdr:colOff>
      <xdr:row>1246</xdr:row>
      <xdr:rowOff>68580</xdr:rowOff>
    </xdr:to>
    <xdr:sp macro="" textlink="">
      <xdr:nvSpPr>
        <xdr:cNvPr id="4134" name="AutoShape 38">
          <a:extLst>
            <a:ext uri="{FF2B5EF4-FFF2-40B4-BE49-F238E27FC236}">
              <a16:creationId xmlns:a16="http://schemas.microsoft.com/office/drawing/2014/main" id="{96866DCE-C790-DE80-FE3A-3AAE9F02054E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23753680"/>
          <a:ext cx="8343900" cy="445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1247</xdr:row>
      <xdr:rowOff>0</xdr:rowOff>
    </xdr:from>
    <xdr:to>
      <xdr:col>14</xdr:col>
      <xdr:colOff>411480</xdr:colOff>
      <xdr:row>1274</xdr:row>
      <xdr:rowOff>83820</xdr:rowOff>
    </xdr:to>
    <xdr:sp macro="" textlink="">
      <xdr:nvSpPr>
        <xdr:cNvPr id="4135" name="AutoShape 39">
          <a:extLst>
            <a:ext uri="{FF2B5EF4-FFF2-40B4-BE49-F238E27FC236}">
              <a16:creationId xmlns:a16="http://schemas.microsoft.com/office/drawing/2014/main" id="{84113698-DC9A-BC66-CC4A-83D4F865143B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28325680"/>
          <a:ext cx="7985760" cy="5021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1274</xdr:row>
      <xdr:rowOff>0</xdr:rowOff>
    </xdr:from>
    <xdr:to>
      <xdr:col>25</xdr:col>
      <xdr:colOff>510540</xdr:colOff>
      <xdr:row>1308</xdr:row>
      <xdr:rowOff>137160</xdr:rowOff>
    </xdr:to>
    <xdr:sp macro="" textlink="">
      <xdr:nvSpPr>
        <xdr:cNvPr id="4136" name="AutoShape 40">
          <a:extLst>
            <a:ext uri="{FF2B5EF4-FFF2-40B4-BE49-F238E27FC236}">
              <a16:creationId xmlns:a16="http://schemas.microsoft.com/office/drawing/2014/main" id="{B243EAE2-CF44-17E0-8EDF-C417CB1407A8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33263440"/>
          <a:ext cx="14790420" cy="6355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1308</xdr:row>
      <xdr:rowOff>0</xdr:rowOff>
    </xdr:from>
    <xdr:to>
      <xdr:col>14</xdr:col>
      <xdr:colOff>281940</xdr:colOff>
      <xdr:row>1322</xdr:row>
      <xdr:rowOff>129540</xdr:rowOff>
    </xdr:to>
    <xdr:sp macro="" textlink="">
      <xdr:nvSpPr>
        <xdr:cNvPr id="4137" name="AutoShape 41">
          <a:extLst>
            <a:ext uri="{FF2B5EF4-FFF2-40B4-BE49-F238E27FC236}">
              <a16:creationId xmlns:a16="http://schemas.microsoft.com/office/drawing/2014/main" id="{DE02027F-216D-A30A-898F-CDC535C67E73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39481360"/>
          <a:ext cx="7856220" cy="2689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1323</xdr:row>
      <xdr:rowOff>0</xdr:rowOff>
    </xdr:from>
    <xdr:to>
      <xdr:col>26</xdr:col>
      <xdr:colOff>228600</xdr:colOff>
      <xdr:row>1360</xdr:row>
      <xdr:rowOff>15240</xdr:rowOff>
    </xdr:to>
    <xdr:sp macro="" textlink="">
      <xdr:nvSpPr>
        <xdr:cNvPr id="4138" name="AutoShape 42">
          <a:extLst>
            <a:ext uri="{FF2B5EF4-FFF2-40B4-BE49-F238E27FC236}">
              <a16:creationId xmlns:a16="http://schemas.microsoft.com/office/drawing/2014/main" id="{74201642-28EF-0E51-2DFD-E8BA297514B3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42224560"/>
          <a:ext cx="15118080" cy="678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1360</xdr:row>
      <xdr:rowOff>0</xdr:rowOff>
    </xdr:from>
    <xdr:to>
      <xdr:col>31</xdr:col>
      <xdr:colOff>45720</xdr:colOff>
      <xdr:row>1375</xdr:row>
      <xdr:rowOff>121920</xdr:rowOff>
    </xdr:to>
    <xdr:sp macro="" textlink="">
      <xdr:nvSpPr>
        <xdr:cNvPr id="4139" name="AutoShape 43">
          <a:extLst>
            <a:ext uri="{FF2B5EF4-FFF2-40B4-BE49-F238E27FC236}">
              <a16:creationId xmlns:a16="http://schemas.microsoft.com/office/drawing/2014/main" id="{CB1383BC-8E68-E455-DF16-45EBEE789FBA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48991120"/>
          <a:ext cx="1798320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1375</xdr:row>
      <xdr:rowOff>0</xdr:rowOff>
    </xdr:from>
    <xdr:to>
      <xdr:col>27</xdr:col>
      <xdr:colOff>281940</xdr:colOff>
      <xdr:row>1398</xdr:row>
      <xdr:rowOff>137160</xdr:rowOff>
    </xdr:to>
    <xdr:sp macro="" textlink="">
      <xdr:nvSpPr>
        <xdr:cNvPr id="4140" name="AutoShape 44">
          <a:extLst>
            <a:ext uri="{FF2B5EF4-FFF2-40B4-BE49-F238E27FC236}">
              <a16:creationId xmlns:a16="http://schemas.microsoft.com/office/drawing/2014/main" id="{9FA6C9ED-0E08-6042-5999-57D2781E2D37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51734320"/>
          <a:ext cx="15781020" cy="434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1398</xdr:row>
      <xdr:rowOff>0</xdr:rowOff>
    </xdr:from>
    <xdr:to>
      <xdr:col>24</xdr:col>
      <xdr:colOff>396240</xdr:colOff>
      <xdr:row>1415</xdr:row>
      <xdr:rowOff>15240</xdr:rowOff>
    </xdr:to>
    <xdr:sp macro="" textlink="">
      <xdr:nvSpPr>
        <xdr:cNvPr id="4141" name="AutoShape 45">
          <a:extLst>
            <a:ext uri="{FF2B5EF4-FFF2-40B4-BE49-F238E27FC236}">
              <a16:creationId xmlns:a16="http://schemas.microsoft.com/office/drawing/2014/main" id="{ADDADE2D-97AD-A911-614D-B9C18C6E736E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55940560"/>
          <a:ext cx="1406652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1416</xdr:row>
      <xdr:rowOff>0</xdr:rowOff>
    </xdr:from>
    <xdr:to>
      <xdr:col>27</xdr:col>
      <xdr:colOff>335280</xdr:colOff>
      <xdr:row>1432</xdr:row>
      <xdr:rowOff>91440</xdr:rowOff>
    </xdr:to>
    <xdr:sp macro="" textlink="">
      <xdr:nvSpPr>
        <xdr:cNvPr id="4142" name="AutoShape 46">
          <a:extLst>
            <a:ext uri="{FF2B5EF4-FFF2-40B4-BE49-F238E27FC236}">
              <a16:creationId xmlns:a16="http://schemas.microsoft.com/office/drawing/2014/main" id="{A8A520CA-A3D6-7702-CB52-A5817359EFD8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59232400"/>
          <a:ext cx="15834360" cy="3017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1433</xdr:row>
      <xdr:rowOff>0</xdr:rowOff>
    </xdr:from>
    <xdr:to>
      <xdr:col>23</xdr:col>
      <xdr:colOff>7620</xdr:colOff>
      <xdr:row>1460</xdr:row>
      <xdr:rowOff>160020</xdr:rowOff>
    </xdr:to>
    <xdr:sp macro="" textlink="">
      <xdr:nvSpPr>
        <xdr:cNvPr id="4143" name="AutoShape 47">
          <a:extLst>
            <a:ext uri="{FF2B5EF4-FFF2-40B4-BE49-F238E27FC236}">
              <a16:creationId xmlns:a16="http://schemas.microsoft.com/office/drawing/2014/main" id="{5DEF1233-B1EC-B5D3-81C2-99E7BF3DAC3F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62341360"/>
          <a:ext cx="13068300" cy="5097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1460</xdr:row>
      <xdr:rowOff>0</xdr:rowOff>
    </xdr:from>
    <xdr:to>
      <xdr:col>12</xdr:col>
      <xdr:colOff>381000</xdr:colOff>
      <xdr:row>1495</xdr:row>
      <xdr:rowOff>30480</xdr:rowOff>
    </xdr:to>
    <xdr:sp macro="" textlink="">
      <xdr:nvSpPr>
        <xdr:cNvPr id="4144" name="AutoShape 48">
          <a:extLst>
            <a:ext uri="{FF2B5EF4-FFF2-40B4-BE49-F238E27FC236}">
              <a16:creationId xmlns:a16="http://schemas.microsoft.com/office/drawing/2014/main" id="{76A9E19B-FB07-D2D4-0228-A3D8F46541D5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67279120"/>
          <a:ext cx="6736080" cy="6431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1495</xdr:row>
      <xdr:rowOff>0</xdr:rowOff>
    </xdr:from>
    <xdr:to>
      <xdr:col>10</xdr:col>
      <xdr:colOff>533400</xdr:colOff>
      <xdr:row>1509</xdr:row>
      <xdr:rowOff>152400</xdr:rowOff>
    </xdr:to>
    <xdr:sp macro="" textlink="">
      <xdr:nvSpPr>
        <xdr:cNvPr id="4145" name="AutoShape 49">
          <a:extLst>
            <a:ext uri="{FF2B5EF4-FFF2-40B4-BE49-F238E27FC236}">
              <a16:creationId xmlns:a16="http://schemas.microsoft.com/office/drawing/2014/main" id="{6794AC70-98FB-4C80-2315-B2B787638044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73679920"/>
          <a:ext cx="5669280" cy="2712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1509</xdr:row>
      <xdr:rowOff>0</xdr:rowOff>
    </xdr:from>
    <xdr:to>
      <xdr:col>12</xdr:col>
      <xdr:colOff>487680</xdr:colOff>
      <xdr:row>1527</xdr:row>
      <xdr:rowOff>160020</xdr:rowOff>
    </xdr:to>
    <xdr:sp macro="" textlink="">
      <xdr:nvSpPr>
        <xdr:cNvPr id="4146" name="AutoShape 50">
          <a:extLst>
            <a:ext uri="{FF2B5EF4-FFF2-40B4-BE49-F238E27FC236}">
              <a16:creationId xmlns:a16="http://schemas.microsoft.com/office/drawing/2014/main" id="{C40EB97F-0AB3-DD98-D43A-B7A268D0767C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76240240"/>
          <a:ext cx="6842760" cy="3451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1527</xdr:row>
      <xdr:rowOff>0</xdr:rowOff>
    </xdr:from>
    <xdr:to>
      <xdr:col>13</xdr:col>
      <xdr:colOff>198120</xdr:colOff>
      <xdr:row>1542</xdr:row>
      <xdr:rowOff>121920</xdr:rowOff>
    </xdr:to>
    <xdr:sp macro="" textlink="">
      <xdr:nvSpPr>
        <xdr:cNvPr id="4147" name="AutoShape 51">
          <a:extLst>
            <a:ext uri="{FF2B5EF4-FFF2-40B4-BE49-F238E27FC236}">
              <a16:creationId xmlns:a16="http://schemas.microsoft.com/office/drawing/2014/main" id="{5D02C8A4-506C-A1ED-5B1F-9BCAA37847F5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79532080"/>
          <a:ext cx="7162800" cy="286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1543</xdr:row>
      <xdr:rowOff>0</xdr:rowOff>
    </xdr:from>
    <xdr:to>
      <xdr:col>17</xdr:col>
      <xdr:colOff>320040</xdr:colOff>
      <xdr:row>1591</xdr:row>
      <xdr:rowOff>45720</xdr:rowOff>
    </xdr:to>
    <xdr:sp macro="" textlink="">
      <xdr:nvSpPr>
        <xdr:cNvPr id="4148" name="AutoShape 52">
          <a:extLst>
            <a:ext uri="{FF2B5EF4-FFF2-40B4-BE49-F238E27FC236}">
              <a16:creationId xmlns:a16="http://schemas.microsoft.com/office/drawing/2014/main" id="{F70A11DD-411F-FE38-B6FD-E4B70A1E1A65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82458160"/>
          <a:ext cx="9723120" cy="882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1591</xdr:row>
      <xdr:rowOff>0</xdr:rowOff>
    </xdr:from>
    <xdr:to>
      <xdr:col>14</xdr:col>
      <xdr:colOff>495300</xdr:colOff>
      <xdr:row>1608</xdr:row>
      <xdr:rowOff>53340</xdr:rowOff>
    </xdr:to>
    <xdr:sp macro="" textlink="">
      <xdr:nvSpPr>
        <xdr:cNvPr id="4149" name="AutoShape 53">
          <a:extLst>
            <a:ext uri="{FF2B5EF4-FFF2-40B4-BE49-F238E27FC236}">
              <a16:creationId xmlns:a16="http://schemas.microsoft.com/office/drawing/2014/main" id="{A7894EB3-994B-2B82-F87B-E3219A75A30D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91236400"/>
          <a:ext cx="8069580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1608</xdr:row>
      <xdr:rowOff>0</xdr:rowOff>
    </xdr:from>
    <xdr:to>
      <xdr:col>14</xdr:col>
      <xdr:colOff>495300</xdr:colOff>
      <xdr:row>1625</xdr:row>
      <xdr:rowOff>53340</xdr:rowOff>
    </xdr:to>
    <xdr:sp macro="" textlink="">
      <xdr:nvSpPr>
        <xdr:cNvPr id="4150" name="AutoShape 54">
          <a:extLst>
            <a:ext uri="{FF2B5EF4-FFF2-40B4-BE49-F238E27FC236}">
              <a16:creationId xmlns:a16="http://schemas.microsoft.com/office/drawing/2014/main" id="{A9CE732A-67F8-3AF7-E7DA-AF2151829D23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94345360"/>
          <a:ext cx="8069580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1625</xdr:row>
      <xdr:rowOff>0</xdr:rowOff>
    </xdr:from>
    <xdr:to>
      <xdr:col>22</xdr:col>
      <xdr:colOff>312420</xdr:colOff>
      <xdr:row>1652</xdr:row>
      <xdr:rowOff>129540</xdr:rowOff>
    </xdr:to>
    <xdr:sp macro="" textlink="">
      <xdr:nvSpPr>
        <xdr:cNvPr id="4151" name="AutoShape 55">
          <a:extLst>
            <a:ext uri="{FF2B5EF4-FFF2-40B4-BE49-F238E27FC236}">
              <a16:creationId xmlns:a16="http://schemas.microsoft.com/office/drawing/2014/main" id="{A21752F2-9E5A-3344-A842-A1C33F6F111E}"/>
            </a:ext>
          </a:extLst>
        </xdr:cNvPr>
        <xdr:cNvSpPr>
          <a:spLocks noChangeAspect="1" noChangeArrowheads="1"/>
        </xdr:cNvSpPr>
      </xdr:nvSpPr>
      <xdr:spPr bwMode="auto">
        <a:xfrm>
          <a:off x="4152900" y="297454320"/>
          <a:ext cx="1276350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1721</xdr:row>
      <xdr:rowOff>0</xdr:rowOff>
    </xdr:from>
    <xdr:to>
      <xdr:col>14</xdr:col>
      <xdr:colOff>68580</xdr:colOff>
      <xdr:row>1747</xdr:row>
      <xdr:rowOff>106680</xdr:rowOff>
    </xdr:to>
    <xdr:sp macro="" textlink="">
      <xdr:nvSpPr>
        <xdr:cNvPr id="4152" name="AutoShape 56">
          <a:extLst>
            <a:ext uri="{FF2B5EF4-FFF2-40B4-BE49-F238E27FC236}">
              <a16:creationId xmlns:a16="http://schemas.microsoft.com/office/drawing/2014/main" id="{5648678A-275D-2822-11DF-8D283868D1C3}"/>
            </a:ext>
          </a:extLst>
        </xdr:cNvPr>
        <xdr:cNvSpPr>
          <a:spLocks noChangeAspect="1" noChangeArrowheads="1"/>
        </xdr:cNvSpPr>
      </xdr:nvSpPr>
      <xdr:spPr bwMode="auto">
        <a:xfrm>
          <a:off x="4152900" y="315193680"/>
          <a:ext cx="7642860" cy="486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213360</xdr:colOff>
      <xdr:row>2</xdr:row>
      <xdr:rowOff>53346</xdr:rowOff>
    </xdr:from>
    <xdr:to>
      <xdr:col>14</xdr:col>
      <xdr:colOff>518160</xdr:colOff>
      <xdr:row>18</xdr:row>
      <xdr:rowOff>83820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3C4B016-8529-1E29-7C27-7C89CB2E28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3340" y="419106"/>
              <a:ext cx="4572000" cy="2956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skan Shaikh" refreshedDate="46250.815540509262" createdVersion="8" refreshedVersion="8" minRefreshableVersion="3" recordCount="45" xr:uid="{47C65664-818C-41CA-BEEF-62C09864F1FF}">
  <cacheSource type="worksheet">
    <worksheetSource ref="A1:G46" sheet="Final Geo Analysis"/>
  </cacheSource>
  <cacheFields count="7">
    <cacheField name="Store" numFmtId="0">
      <sharedItems containsSemiMixedTypes="0" containsString="0" containsNumber="1" containsInteger="1" minValue="1" maxValue="45"/>
    </cacheField>
    <cacheField name="City" numFmtId="0">
      <sharedItems/>
    </cacheField>
    <cacheField name="State" numFmtId="0">
      <sharedItems count="6">
        <s v="AR"/>
        <s v="GA"/>
        <s v="MO"/>
        <s v="OK"/>
        <s v="LA"/>
        <s v="KS"/>
      </sharedItems>
    </cacheField>
    <cacheField name="Latitude" numFmtId="0">
      <sharedItems containsSemiMixedTypes="0" containsString="0" containsNumber="1" minValue="32.543520000000001" maxValue="39.447670000000002"/>
    </cacheField>
    <cacheField name="Longitude" numFmtId="0">
      <sharedItems containsSemiMixedTypes="0" containsString="0" containsNumber="1" minValue="-96.820700000000002" maxValue="-83.456599999999995"/>
    </cacheField>
    <cacheField name="Total Sales" numFmtId="4">
      <sharedItems containsSemiMixedTypes="0" containsString="0" containsNumber="1" minValue="37160221.960000001" maxValue="301397792.45999998"/>
    </cacheField>
    <cacheField name="Demand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s v="Rogers"/>
    <x v="0"/>
    <n v="36.331299999999999"/>
    <n v="-94.149000000000001"/>
    <n v="222402808.84999999"/>
    <s v="High"/>
  </r>
  <r>
    <n v="2"/>
    <s v="Harrison"/>
    <x v="0"/>
    <n v="36.269039999999997"/>
    <n v="-93.139099999999999"/>
    <n v="275382440.98000002"/>
    <s v="High"/>
  </r>
  <r>
    <n v="3"/>
    <s v="Commerce"/>
    <x v="1"/>
    <n v="34.24785"/>
    <n v="-83.456599999999995"/>
    <n v="57586735.07"/>
    <s v="Low"/>
  </r>
  <r>
    <n v="4"/>
    <s v="Siloam Springs"/>
    <x v="0"/>
    <n v="36.18347"/>
    <n v="-94.512600000000006"/>
    <n v="299543953.38"/>
    <s v="High"/>
  </r>
  <r>
    <n v="5"/>
    <s v="Conway"/>
    <x v="0"/>
    <n v="35.10866"/>
    <n v="-92.436899999999994"/>
    <n v="45475688.899999999"/>
    <s v="Low"/>
  </r>
  <r>
    <n v="6"/>
    <s v="Bentonville"/>
    <x v="0"/>
    <n v="36.372900000000001"/>
    <n v="-94.208799999999997"/>
    <n v="223756130.63999999"/>
    <s v="High"/>
  </r>
  <r>
    <n v="7"/>
    <s v="Sherwood"/>
    <x v="0"/>
    <n v="34.838769999999997"/>
    <n v="-92.236800000000002"/>
    <n v="81598275.140000001"/>
    <s v="Low"/>
  </r>
  <r>
    <n v="8"/>
    <s v="Morrilton"/>
    <x v="0"/>
    <n v="35.150300000000001"/>
    <n v="-92.744600000000005"/>
    <n v="129951181.13"/>
    <s v="Low"/>
  </r>
  <r>
    <n v="9"/>
    <s v="Sikeston"/>
    <x v="2"/>
    <n v="36.857390000000002"/>
    <n v="-89.586100000000002"/>
    <n v="77789218.989999995"/>
    <s v="Low"/>
  </r>
  <r>
    <n v="10"/>
    <s v="Tahlequah"/>
    <x v="3"/>
    <n v="35.888770000000001"/>
    <n v="-94.979900000000001"/>
    <n v="271617713.88999999"/>
    <s v="High"/>
  </r>
  <r>
    <n v="11"/>
    <s v="Mountain Home"/>
    <x v="0"/>
    <n v="36.354959999999998"/>
    <n v="-92.340999999999994"/>
    <n v="193962786.80000001"/>
    <s v="High"/>
  </r>
  <r>
    <n v="12"/>
    <s v="Claremore"/>
    <x v="3"/>
    <n v="36.293959999999998"/>
    <n v="-95.627099999999999"/>
    <n v="144287230.15000001"/>
    <s v="Low"/>
  </r>
  <r>
    <n v="13"/>
    <s v="Carthage"/>
    <x v="2"/>
    <n v="37.141959999999997"/>
    <n v="-94.313299999999998"/>
    <n v="286517703.80000001"/>
    <s v="High"/>
  </r>
  <r>
    <n v="14"/>
    <s v="Lebanon"/>
    <x v="2"/>
    <n v="37.663490000000003"/>
    <n v="-92.645799999999994"/>
    <n v="288999911.33999997"/>
    <s v="High"/>
  </r>
  <r>
    <n v="15"/>
    <s v="West Plains"/>
    <x v="2"/>
    <n v="36.714709999999997"/>
    <n v="-91.8703"/>
    <n v="89133683.920000002"/>
    <s v="Low"/>
  </r>
  <r>
    <n v="16"/>
    <s v="Van Buren"/>
    <x v="0"/>
    <n v="35.469099999999997"/>
    <n v="-94.353399999999993"/>
    <n v="74252425.400000006"/>
    <s v="Low"/>
  </r>
  <r>
    <n v="17"/>
    <s v="Neosho"/>
    <x v="2"/>
    <n v="36.83916"/>
    <n v="-94.397300000000001"/>
    <n v="127782138.83"/>
    <s v="Low"/>
  </r>
  <r>
    <n v="18"/>
    <s v="Newport"/>
    <x v="0"/>
    <n v="35.604799999999997"/>
    <n v="-91.281800000000004"/>
    <n v="155114734.21000001"/>
    <s v="High"/>
  </r>
  <r>
    <n v="19"/>
    <s v="Poplar Bluff"/>
    <x v="2"/>
    <n v="36.75573"/>
    <n v="-90.411799999999999"/>
    <n v="206634862.09999999"/>
    <s v="High"/>
  </r>
  <r>
    <n v="20"/>
    <s v="Clinton"/>
    <x v="2"/>
    <n v="38.362769999999998"/>
    <n v="-93.750600000000006"/>
    <n v="301397792.45999998"/>
    <s v="High"/>
  </r>
  <r>
    <n v="21"/>
    <s v="St. Robert"/>
    <x v="2"/>
    <n v="37.825150000000001"/>
    <n v="-92.152299999999997"/>
    <n v="108117878.92"/>
    <s v="Low"/>
  </r>
  <r>
    <n v="22"/>
    <s v="Pryor"/>
    <x v="3"/>
    <n v="36.262479999999996"/>
    <n v="-95.53"/>
    <n v="147075648.56999999"/>
    <s v="Low"/>
  </r>
  <r>
    <n v="23"/>
    <s v="Ruston"/>
    <x v="4"/>
    <n v="32.543520000000001"/>
    <n v="-92.623999999999995"/>
    <n v="198750617.84999999"/>
    <s v="High"/>
  </r>
  <r>
    <n v="24"/>
    <s v="Jacksonville"/>
    <x v="0"/>
    <n v="34.885100000000001"/>
    <n v="-92.1126"/>
    <n v="194016021.28"/>
    <s v="High"/>
  </r>
  <r>
    <n v="25"/>
    <s v="Mexico"/>
    <x v="2"/>
    <n v="39.120510000000003"/>
    <n v="-91.890500000000003"/>
    <n v="101061179.17"/>
    <s v="Low"/>
  </r>
  <r>
    <n v="26"/>
    <s v="Leavenworth"/>
    <x v="5"/>
    <n v="39.26876"/>
    <n v="-94.930400000000006"/>
    <n v="143416393.78999999"/>
    <s v="Low"/>
  </r>
  <r>
    <n v="27"/>
    <s v="Salem"/>
    <x v="2"/>
    <n v="37.630899999999997"/>
    <n v="-91.514200000000002"/>
    <n v="253855916.88"/>
    <s v="High"/>
  </r>
  <r>
    <n v="28"/>
    <s v="Miami"/>
    <x v="3"/>
    <n v="36.880749999999999"/>
    <n v="-94.871399999999994"/>
    <n v="189263680.58000001"/>
    <s v="High"/>
  </r>
  <r>
    <n v="29"/>
    <s v="Jefferson City"/>
    <x v="2"/>
    <n v="38.58005"/>
    <n v="-92.219899999999996"/>
    <n v="77141554.310000002"/>
    <s v="Low"/>
  </r>
  <r>
    <n v="30"/>
    <s v="Dexter"/>
    <x v="2"/>
    <n v="36.78445"/>
    <n v="-89.974279999999993"/>
    <n v="62716885.119999997"/>
    <s v="Low"/>
  </r>
  <r>
    <n v="31"/>
    <s v="Poteau"/>
    <x v="3"/>
    <n v="35.052790000000002"/>
    <n v="-94.618290000000002"/>
    <n v="199613905.5"/>
    <s v="High"/>
  </r>
  <r>
    <n v="32"/>
    <s v="Mena"/>
    <x v="2"/>
    <n v="34.588479999999997"/>
    <n v="-94.215670000000003"/>
    <n v="166819246.16"/>
    <s v="High"/>
  </r>
  <r>
    <n v="33"/>
    <s v="Nashville"/>
    <x v="0"/>
    <n v="33.985610000000001"/>
    <n v="-93.852140000000006"/>
    <n v="37160221.960000001"/>
    <s v="Low"/>
  </r>
  <r>
    <n v="34"/>
    <s v="Nevada"/>
    <x v="2"/>
    <n v="37.838560000000001"/>
    <n v="-94.350750000000005"/>
    <n v="138249763"/>
    <s v="Low"/>
  </r>
  <r>
    <n v="35"/>
    <s v="Manhattan"/>
    <x v="5"/>
    <n v="39.184989999999999"/>
    <n v="-96.569320000000005"/>
    <n v="131520672.08"/>
    <s v="Low"/>
  </r>
  <r>
    <n v="36"/>
    <s v="Paragould"/>
    <x v="0"/>
    <n v="36.065710000000003"/>
    <n v="-90.510199999999998"/>
    <n v="53412214.969999999"/>
    <s v="Low"/>
  </r>
  <r>
    <n v="37"/>
    <s v="Farmington"/>
    <x v="2"/>
    <n v="37.779209999999999"/>
    <n v="-90.41404"/>
    <n v="74202740.319999993"/>
    <s v="Low"/>
  </r>
  <r>
    <n v="38"/>
    <s v="Idabel"/>
    <x v="3"/>
    <n v="33.883580000000002"/>
    <n v="-94.831540000000004"/>
    <n v="55159626.420000002"/>
    <s v="Low"/>
  </r>
  <r>
    <n v="39"/>
    <s v="Fort Scott"/>
    <x v="5"/>
    <n v="37.823300000000003"/>
    <n v="-94.733890000000002"/>
    <n v="207445542.47"/>
    <s v="High"/>
  </r>
  <r>
    <n v="40"/>
    <s v="Moberly"/>
    <x v="2"/>
    <n v="39.447670000000002"/>
    <n v="-92.420500000000004"/>
    <n v="137870309.78999999"/>
    <s v="Low"/>
  </r>
  <r>
    <n v="41"/>
    <s v="Bartlesville"/>
    <x v="3"/>
    <n v="36.740699999999997"/>
    <n v="-95.931600000000003"/>
    <n v="181341934.88999999"/>
    <s v="High"/>
  </r>
  <r>
    <n v="42"/>
    <s v="Coffeyville"/>
    <x v="5"/>
    <n v="37.043599999999998"/>
    <n v="-95.578999999999994"/>
    <n v="79565752.430000007"/>
    <s v="Low"/>
  </r>
  <r>
    <n v="43"/>
    <s v="Junction City"/>
    <x v="5"/>
    <n v="39.018970000000003"/>
    <n v="-96.820700000000002"/>
    <n v="90565435.409999996"/>
    <s v="Low"/>
  </r>
  <r>
    <n v="44"/>
    <s v="Eldon"/>
    <x v="2"/>
    <n v="38.33522"/>
    <n v="-92.583799999999997"/>
    <n v="43293087.840000004"/>
    <s v="Low"/>
  </r>
  <r>
    <n v="45"/>
    <s v="Jonesboro"/>
    <x v="0"/>
    <n v="35.818950000000001"/>
    <n v="-90.685299999999998"/>
    <n v="112395341.4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83BD5-C08E-4DF8-8D8B-0E3205DA59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4">
  <location ref="A1:C8" firstHeaderRow="0" firstDataRow="1" firstDataCol="1"/>
  <pivotFields count="7">
    <pivotField dataField="1" compact="0" showAll="0"/>
    <pivotField compact="0" showAll="0"/>
    <pivotField axis="axisRow" compact="0" showAll="0">
      <items count="7">
        <item x="0"/>
        <item x="1"/>
        <item x="5"/>
        <item x="4"/>
        <item x="2"/>
        <item x="3"/>
        <item t="default"/>
      </items>
    </pivotField>
    <pivotField compact="0" showAll="0"/>
    <pivotField compact="0" showAll="0"/>
    <pivotField dataField="1" compact="0" numFmtId="4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ore" fld="0" subtotal="count" baseField="2" baseItem="0"/>
    <dataField name="Sum of Total Sales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s="2">
        <v>222402808.84999999</v>
      </c>
    </row>
    <row r="3" spans="1:2">
      <c r="A3">
        <v>2</v>
      </c>
      <c r="B3" s="2">
        <v>275382440.98000002</v>
      </c>
    </row>
    <row r="4" spans="1:2">
      <c r="A4">
        <v>3</v>
      </c>
      <c r="B4" s="2">
        <v>57586735.07</v>
      </c>
    </row>
    <row r="5" spans="1:2">
      <c r="A5">
        <v>4</v>
      </c>
      <c r="B5" s="2">
        <v>299543953.38</v>
      </c>
    </row>
    <row r="6" spans="1:2">
      <c r="A6">
        <v>5</v>
      </c>
      <c r="B6" s="2">
        <v>45475688.899999999</v>
      </c>
    </row>
    <row r="7" spans="1:2">
      <c r="A7">
        <v>6</v>
      </c>
      <c r="B7" s="2">
        <v>223756130.63999999</v>
      </c>
    </row>
    <row r="8" spans="1:2">
      <c r="A8">
        <v>7</v>
      </c>
      <c r="B8" s="2">
        <v>81598275.140000001</v>
      </c>
    </row>
    <row r="9" spans="1:2">
      <c r="A9">
        <v>8</v>
      </c>
      <c r="B9" s="2">
        <v>129951181.13</v>
      </c>
    </row>
    <row r="10" spans="1:2">
      <c r="A10">
        <v>9</v>
      </c>
      <c r="B10" s="2">
        <v>77789218.989999995</v>
      </c>
    </row>
    <row r="11" spans="1:2">
      <c r="A11">
        <v>10</v>
      </c>
      <c r="B11" s="2">
        <v>271617713.88999999</v>
      </c>
    </row>
    <row r="12" spans="1:2">
      <c r="A12">
        <v>11</v>
      </c>
      <c r="B12" s="2">
        <v>193962786.80000001</v>
      </c>
    </row>
    <row r="13" spans="1:2">
      <c r="A13">
        <v>12</v>
      </c>
      <c r="B13" s="2">
        <v>144287230.15000001</v>
      </c>
    </row>
    <row r="14" spans="1:2">
      <c r="A14">
        <v>13</v>
      </c>
      <c r="B14" s="2">
        <v>286517703.80000001</v>
      </c>
    </row>
    <row r="15" spans="1:2">
      <c r="A15">
        <v>14</v>
      </c>
      <c r="B15" s="2">
        <v>288999911.33999997</v>
      </c>
    </row>
    <row r="16" spans="1:2">
      <c r="A16">
        <v>15</v>
      </c>
      <c r="B16" s="2">
        <v>89133683.920000002</v>
      </c>
    </row>
    <row r="17" spans="1:2">
      <c r="A17">
        <v>16</v>
      </c>
      <c r="B17" s="2">
        <v>74252425.400000006</v>
      </c>
    </row>
    <row r="18" spans="1:2">
      <c r="A18">
        <v>17</v>
      </c>
      <c r="B18" s="2">
        <v>127782138.83</v>
      </c>
    </row>
    <row r="19" spans="1:2">
      <c r="A19">
        <v>18</v>
      </c>
      <c r="B19" s="2">
        <v>155114734.21000001</v>
      </c>
    </row>
    <row r="20" spans="1:2">
      <c r="A20">
        <v>19</v>
      </c>
      <c r="B20" s="2">
        <v>206634862.09999999</v>
      </c>
    </row>
    <row r="21" spans="1:2">
      <c r="A21">
        <v>20</v>
      </c>
      <c r="B21" s="2">
        <v>301397792.45999998</v>
      </c>
    </row>
    <row r="22" spans="1:2">
      <c r="A22">
        <v>21</v>
      </c>
      <c r="B22" s="2">
        <v>108117878.92</v>
      </c>
    </row>
    <row r="23" spans="1:2">
      <c r="A23">
        <v>22</v>
      </c>
      <c r="B23" s="2">
        <v>147075648.56999999</v>
      </c>
    </row>
    <row r="24" spans="1:2">
      <c r="A24">
        <v>23</v>
      </c>
      <c r="B24" s="2">
        <v>198750617.84999999</v>
      </c>
    </row>
    <row r="25" spans="1:2">
      <c r="A25">
        <v>24</v>
      </c>
      <c r="B25" s="2">
        <v>194016021.28</v>
      </c>
    </row>
    <row r="26" spans="1:2">
      <c r="A26">
        <v>25</v>
      </c>
      <c r="B26" s="2">
        <v>101061179.17</v>
      </c>
    </row>
    <row r="27" spans="1:2">
      <c r="A27">
        <v>26</v>
      </c>
      <c r="B27" s="2">
        <v>143416393.78999999</v>
      </c>
    </row>
    <row r="28" spans="1:2">
      <c r="A28">
        <v>27</v>
      </c>
      <c r="B28" s="2">
        <v>253855916.88</v>
      </c>
    </row>
    <row r="29" spans="1:2">
      <c r="A29">
        <v>28</v>
      </c>
      <c r="B29" s="2">
        <v>189263680.58000001</v>
      </c>
    </row>
    <row r="30" spans="1:2">
      <c r="A30">
        <v>29</v>
      </c>
      <c r="B30" s="2">
        <v>77141554.310000002</v>
      </c>
    </row>
    <row r="31" spans="1:2">
      <c r="A31">
        <v>30</v>
      </c>
      <c r="B31" s="2">
        <v>62716885.119999997</v>
      </c>
    </row>
    <row r="32" spans="1:2">
      <c r="A32">
        <v>31</v>
      </c>
      <c r="B32" s="2">
        <v>199613905.5</v>
      </c>
    </row>
    <row r="33" spans="1:2">
      <c r="A33">
        <v>32</v>
      </c>
      <c r="B33" s="2">
        <v>166819246.16</v>
      </c>
    </row>
    <row r="34" spans="1:2">
      <c r="A34">
        <v>33</v>
      </c>
      <c r="B34" s="2">
        <v>37160221.960000001</v>
      </c>
    </row>
    <row r="35" spans="1:2">
      <c r="A35">
        <v>34</v>
      </c>
      <c r="B35" s="2">
        <v>138249763</v>
      </c>
    </row>
    <row r="36" spans="1:2">
      <c r="A36">
        <v>35</v>
      </c>
      <c r="B36" s="2">
        <v>131520672.08</v>
      </c>
    </row>
    <row r="37" spans="1:2">
      <c r="A37">
        <v>36</v>
      </c>
      <c r="B37" s="2">
        <v>53412214.969999999</v>
      </c>
    </row>
    <row r="38" spans="1:2">
      <c r="A38">
        <v>37</v>
      </c>
      <c r="B38" s="2">
        <v>74202740.319999993</v>
      </c>
    </row>
    <row r="39" spans="1:2">
      <c r="A39">
        <v>38</v>
      </c>
      <c r="B39" s="2">
        <v>55159626.420000002</v>
      </c>
    </row>
    <row r="40" spans="1:2">
      <c r="A40">
        <v>39</v>
      </c>
      <c r="B40" s="2">
        <v>207445542.47</v>
      </c>
    </row>
    <row r="41" spans="1:2">
      <c r="A41">
        <v>40</v>
      </c>
      <c r="B41" s="2">
        <v>137870309.78999999</v>
      </c>
    </row>
    <row r="42" spans="1:2">
      <c r="A42">
        <v>41</v>
      </c>
      <c r="B42" s="2">
        <v>181341934.88999999</v>
      </c>
    </row>
    <row r="43" spans="1:2">
      <c r="A43">
        <v>42</v>
      </c>
      <c r="B43" s="2">
        <v>79565752.430000007</v>
      </c>
    </row>
    <row r="44" spans="1:2">
      <c r="A44">
        <v>43</v>
      </c>
      <c r="B44" s="2">
        <v>90565435.409999996</v>
      </c>
    </row>
    <row r="45" spans="1:2">
      <c r="A45">
        <v>44</v>
      </c>
      <c r="B45" s="2">
        <v>43293087.840000004</v>
      </c>
    </row>
    <row r="46" spans="1:2">
      <c r="A46">
        <v>45</v>
      </c>
      <c r="B46" s="2">
        <v>112395341.42</v>
      </c>
    </row>
  </sheetData>
  <autoFilter ref="A1:B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>
      <pane ySplit="1" topLeftCell="A22" activePane="bottomLeft" state="frozen"/>
      <selection pane="bottomLeft" activeCell="I36" sqref="I36"/>
    </sheetView>
  </sheetViews>
  <sheetFormatPr defaultRowHeight="14.4"/>
  <cols>
    <col min="1" max="1" width="12" customWidth="1"/>
    <col min="2" max="2" width="16" customWidth="1"/>
    <col min="3" max="5" width="12" customWidth="1"/>
    <col min="6" max="7" width="14" customWidth="1"/>
  </cols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>
        <v>1</v>
      </c>
      <c r="B2" t="s">
        <v>8</v>
      </c>
      <c r="C2" t="s">
        <v>9</v>
      </c>
      <c r="D2">
        <v>36.331299999999999</v>
      </c>
      <c r="E2">
        <v>-94.149000000000001</v>
      </c>
      <c r="F2" s="2">
        <v>222402808.84999999</v>
      </c>
      <c r="G2" t="s">
        <v>10</v>
      </c>
    </row>
    <row r="3" spans="1:7">
      <c r="A3">
        <v>2</v>
      </c>
      <c r="B3" t="s">
        <v>11</v>
      </c>
      <c r="C3" t="s">
        <v>9</v>
      </c>
      <c r="D3">
        <v>36.269039999999997</v>
      </c>
      <c r="E3">
        <v>-93.139099999999999</v>
      </c>
      <c r="F3" s="2">
        <v>275382440.98000002</v>
      </c>
      <c r="G3" t="s">
        <v>10</v>
      </c>
    </row>
    <row r="4" spans="1:7">
      <c r="A4">
        <v>3</v>
      </c>
      <c r="B4" t="s">
        <v>12</v>
      </c>
      <c r="C4" t="s">
        <v>13</v>
      </c>
      <c r="D4">
        <v>34.24785</v>
      </c>
      <c r="E4">
        <v>-83.456599999999995</v>
      </c>
      <c r="F4" s="2">
        <v>57586735.07</v>
      </c>
      <c r="G4" t="s">
        <v>14</v>
      </c>
    </row>
    <row r="5" spans="1:7">
      <c r="A5">
        <v>4</v>
      </c>
      <c r="B5" t="s">
        <v>15</v>
      </c>
      <c r="C5" t="s">
        <v>9</v>
      </c>
      <c r="D5">
        <v>36.18347</v>
      </c>
      <c r="E5">
        <v>-94.512600000000006</v>
      </c>
      <c r="F5" s="2">
        <v>299543953.38</v>
      </c>
      <c r="G5" t="s">
        <v>10</v>
      </c>
    </row>
    <row r="6" spans="1:7">
      <c r="A6">
        <v>5</v>
      </c>
      <c r="B6" t="s">
        <v>16</v>
      </c>
      <c r="C6" t="s">
        <v>9</v>
      </c>
      <c r="D6">
        <v>35.10866</v>
      </c>
      <c r="E6">
        <v>-92.436899999999994</v>
      </c>
      <c r="F6" s="2">
        <v>45475688.899999999</v>
      </c>
      <c r="G6" t="s">
        <v>14</v>
      </c>
    </row>
    <row r="7" spans="1:7">
      <c r="A7">
        <v>6</v>
      </c>
      <c r="B7" t="s">
        <v>17</v>
      </c>
      <c r="C7" t="s">
        <v>9</v>
      </c>
      <c r="D7">
        <v>36.372900000000001</v>
      </c>
      <c r="E7">
        <v>-94.208799999999997</v>
      </c>
      <c r="F7" s="2">
        <v>223756130.63999999</v>
      </c>
      <c r="G7" t="s">
        <v>10</v>
      </c>
    </row>
    <row r="8" spans="1:7">
      <c r="A8">
        <v>7</v>
      </c>
      <c r="B8" t="s">
        <v>18</v>
      </c>
      <c r="C8" t="s">
        <v>9</v>
      </c>
      <c r="D8">
        <v>34.838769999999997</v>
      </c>
      <c r="E8">
        <v>-92.236800000000002</v>
      </c>
      <c r="F8" s="2">
        <v>81598275.140000001</v>
      </c>
      <c r="G8" t="s">
        <v>14</v>
      </c>
    </row>
    <row r="9" spans="1:7">
      <c r="A9">
        <v>8</v>
      </c>
      <c r="B9" t="s">
        <v>19</v>
      </c>
      <c r="C9" t="s">
        <v>9</v>
      </c>
      <c r="D9">
        <v>35.150300000000001</v>
      </c>
      <c r="E9">
        <v>-92.744600000000005</v>
      </c>
      <c r="F9" s="2">
        <v>129951181.13</v>
      </c>
      <c r="G9" t="s">
        <v>14</v>
      </c>
    </row>
    <row r="10" spans="1:7">
      <c r="A10">
        <v>9</v>
      </c>
      <c r="B10" t="s">
        <v>20</v>
      </c>
      <c r="C10" t="s">
        <v>21</v>
      </c>
      <c r="D10">
        <v>36.857390000000002</v>
      </c>
      <c r="E10">
        <v>-89.586100000000002</v>
      </c>
      <c r="F10" s="2">
        <v>77789218.989999995</v>
      </c>
      <c r="G10" t="s">
        <v>14</v>
      </c>
    </row>
    <row r="11" spans="1:7">
      <c r="A11">
        <v>10</v>
      </c>
      <c r="B11" t="s">
        <v>22</v>
      </c>
      <c r="C11" t="s">
        <v>23</v>
      </c>
      <c r="D11">
        <v>35.888770000000001</v>
      </c>
      <c r="E11">
        <v>-94.979900000000001</v>
      </c>
      <c r="F11" s="2">
        <v>271617713.88999999</v>
      </c>
      <c r="G11" t="s">
        <v>10</v>
      </c>
    </row>
    <row r="12" spans="1:7">
      <c r="A12">
        <v>11</v>
      </c>
      <c r="B12" t="s">
        <v>24</v>
      </c>
      <c r="C12" t="s">
        <v>9</v>
      </c>
      <c r="D12">
        <v>36.354959999999998</v>
      </c>
      <c r="E12">
        <v>-92.340999999999994</v>
      </c>
      <c r="F12" s="2">
        <v>193962786.80000001</v>
      </c>
      <c r="G12" t="s">
        <v>10</v>
      </c>
    </row>
    <row r="13" spans="1:7">
      <c r="A13">
        <v>12</v>
      </c>
      <c r="B13" t="s">
        <v>25</v>
      </c>
      <c r="C13" t="s">
        <v>23</v>
      </c>
      <c r="D13">
        <v>36.293959999999998</v>
      </c>
      <c r="E13">
        <v>-95.627099999999999</v>
      </c>
      <c r="F13" s="2">
        <v>144287230.15000001</v>
      </c>
      <c r="G13" t="s">
        <v>14</v>
      </c>
    </row>
    <row r="14" spans="1:7">
      <c r="A14">
        <v>13</v>
      </c>
      <c r="B14" t="s">
        <v>26</v>
      </c>
      <c r="C14" t="s">
        <v>21</v>
      </c>
      <c r="D14">
        <v>37.141959999999997</v>
      </c>
      <c r="E14">
        <v>-94.313299999999998</v>
      </c>
      <c r="F14" s="2">
        <v>286517703.80000001</v>
      </c>
      <c r="G14" t="s">
        <v>10</v>
      </c>
    </row>
    <row r="15" spans="1:7">
      <c r="A15">
        <v>14</v>
      </c>
      <c r="B15" t="s">
        <v>27</v>
      </c>
      <c r="C15" t="s">
        <v>21</v>
      </c>
      <c r="D15">
        <v>37.663490000000003</v>
      </c>
      <c r="E15">
        <v>-92.645799999999994</v>
      </c>
      <c r="F15" s="2">
        <v>288999911.33999997</v>
      </c>
      <c r="G15" t="s">
        <v>10</v>
      </c>
    </row>
    <row r="16" spans="1:7">
      <c r="A16">
        <v>15</v>
      </c>
      <c r="B16" t="s">
        <v>28</v>
      </c>
      <c r="C16" t="s">
        <v>21</v>
      </c>
      <c r="D16">
        <v>36.714709999999997</v>
      </c>
      <c r="E16">
        <v>-91.8703</v>
      </c>
      <c r="F16" s="2">
        <v>89133683.920000002</v>
      </c>
      <c r="G16" t="s">
        <v>14</v>
      </c>
    </row>
    <row r="17" spans="1:7">
      <c r="A17">
        <v>16</v>
      </c>
      <c r="B17" t="s">
        <v>29</v>
      </c>
      <c r="C17" t="s">
        <v>9</v>
      </c>
      <c r="D17">
        <v>35.469099999999997</v>
      </c>
      <c r="E17">
        <v>-94.353399999999993</v>
      </c>
      <c r="F17" s="2">
        <v>74252425.400000006</v>
      </c>
      <c r="G17" t="s">
        <v>14</v>
      </c>
    </row>
    <row r="18" spans="1:7">
      <c r="A18">
        <v>17</v>
      </c>
      <c r="B18" t="s">
        <v>30</v>
      </c>
      <c r="C18" t="s">
        <v>21</v>
      </c>
      <c r="D18">
        <v>36.83916</v>
      </c>
      <c r="E18">
        <v>-94.397300000000001</v>
      </c>
      <c r="F18" s="2">
        <v>127782138.83</v>
      </c>
      <c r="G18" t="s">
        <v>14</v>
      </c>
    </row>
    <row r="19" spans="1:7">
      <c r="A19">
        <v>18</v>
      </c>
      <c r="B19" t="s">
        <v>31</v>
      </c>
      <c r="C19" t="s">
        <v>9</v>
      </c>
      <c r="D19">
        <v>35.604799999999997</v>
      </c>
      <c r="E19">
        <v>-91.281800000000004</v>
      </c>
      <c r="F19" s="2">
        <v>155114734.21000001</v>
      </c>
      <c r="G19" t="s">
        <v>10</v>
      </c>
    </row>
    <row r="20" spans="1:7">
      <c r="A20">
        <v>19</v>
      </c>
      <c r="B20" t="s">
        <v>32</v>
      </c>
      <c r="C20" t="s">
        <v>21</v>
      </c>
      <c r="D20">
        <v>36.75573</v>
      </c>
      <c r="E20">
        <v>-90.411799999999999</v>
      </c>
      <c r="F20" s="2">
        <v>206634862.09999999</v>
      </c>
      <c r="G20" t="s">
        <v>10</v>
      </c>
    </row>
    <row r="21" spans="1:7">
      <c r="A21">
        <v>20</v>
      </c>
      <c r="B21" t="s">
        <v>33</v>
      </c>
      <c r="C21" t="s">
        <v>21</v>
      </c>
      <c r="D21">
        <v>38.362769999999998</v>
      </c>
      <c r="E21">
        <v>-93.750600000000006</v>
      </c>
      <c r="F21" s="2">
        <v>301397792.45999998</v>
      </c>
      <c r="G21" t="s">
        <v>10</v>
      </c>
    </row>
    <row r="22" spans="1:7">
      <c r="A22">
        <v>21</v>
      </c>
      <c r="B22" t="s">
        <v>34</v>
      </c>
      <c r="C22" t="s">
        <v>21</v>
      </c>
      <c r="D22">
        <v>37.825150000000001</v>
      </c>
      <c r="E22">
        <v>-92.152299999999997</v>
      </c>
      <c r="F22" s="2">
        <v>108117878.92</v>
      </c>
      <c r="G22" t="s">
        <v>14</v>
      </c>
    </row>
    <row r="23" spans="1:7">
      <c r="A23">
        <v>22</v>
      </c>
      <c r="B23" t="s">
        <v>35</v>
      </c>
      <c r="C23" t="s">
        <v>23</v>
      </c>
      <c r="D23">
        <v>36.262479999999996</v>
      </c>
      <c r="E23">
        <v>-95.53</v>
      </c>
      <c r="F23" s="2">
        <v>147075648.56999999</v>
      </c>
      <c r="G23" t="s">
        <v>14</v>
      </c>
    </row>
    <row r="24" spans="1:7">
      <c r="A24">
        <v>23</v>
      </c>
      <c r="B24" t="s">
        <v>36</v>
      </c>
      <c r="C24" t="s">
        <v>37</v>
      </c>
      <c r="D24">
        <v>32.543520000000001</v>
      </c>
      <c r="E24">
        <v>-92.623999999999995</v>
      </c>
      <c r="F24" s="2">
        <v>198750617.84999999</v>
      </c>
      <c r="G24" t="s">
        <v>10</v>
      </c>
    </row>
    <row r="25" spans="1:7">
      <c r="A25">
        <v>24</v>
      </c>
      <c r="B25" t="s">
        <v>38</v>
      </c>
      <c r="C25" t="s">
        <v>9</v>
      </c>
      <c r="D25">
        <v>34.885100000000001</v>
      </c>
      <c r="E25">
        <v>-92.1126</v>
      </c>
      <c r="F25" s="2">
        <v>194016021.28</v>
      </c>
      <c r="G25" t="s">
        <v>10</v>
      </c>
    </row>
    <row r="26" spans="1:7">
      <c r="A26">
        <v>25</v>
      </c>
      <c r="B26" t="s">
        <v>39</v>
      </c>
      <c r="C26" t="s">
        <v>21</v>
      </c>
      <c r="D26">
        <v>39.120510000000003</v>
      </c>
      <c r="E26">
        <v>-91.890500000000003</v>
      </c>
      <c r="F26" s="2">
        <v>101061179.17</v>
      </c>
      <c r="G26" t="s">
        <v>14</v>
      </c>
    </row>
    <row r="27" spans="1:7">
      <c r="A27">
        <v>26</v>
      </c>
      <c r="B27" t="s">
        <v>40</v>
      </c>
      <c r="C27" t="s">
        <v>41</v>
      </c>
      <c r="D27">
        <v>39.26876</v>
      </c>
      <c r="E27">
        <v>-94.930400000000006</v>
      </c>
      <c r="F27" s="2">
        <v>143416393.78999999</v>
      </c>
      <c r="G27" t="s">
        <v>14</v>
      </c>
    </row>
    <row r="28" spans="1:7">
      <c r="A28">
        <v>27</v>
      </c>
      <c r="B28" t="s">
        <v>42</v>
      </c>
      <c r="C28" t="s">
        <v>21</v>
      </c>
      <c r="D28">
        <v>37.630899999999997</v>
      </c>
      <c r="E28">
        <v>-91.514200000000002</v>
      </c>
      <c r="F28" s="2">
        <v>253855916.88</v>
      </c>
      <c r="G28" t="s">
        <v>10</v>
      </c>
    </row>
    <row r="29" spans="1:7">
      <c r="A29">
        <v>28</v>
      </c>
      <c r="B29" t="s">
        <v>43</v>
      </c>
      <c r="C29" t="s">
        <v>23</v>
      </c>
      <c r="D29">
        <v>36.880749999999999</v>
      </c>
      <c r="E29">
        <v>-94.871399999999994</v>
      </c>
      <c r="F29" s="2">
        <v>189263680.58000001</v>
      </c>
      <c r="G29" t="s">
        <v>10</v>
      </c>
    </row>
    <row r="30" spans="1:7">
      <c r="A30">
        <v>29</v>
      </c>
      <c r="B30" t="s">
        <v>44</v>
      </c>
      <c r="C30" t="s">
        <v>21</v>
      </c>
      <c r="D30">
        <v>38.58005</v>
      </c>
      <c r="E30">
        <v>-92.219899999999996</v>
      </c>
      <c r="F30" s="2">
        <v>77141554.310000002</v>
      </c>
      <c r="G30" t="s">
        <v>14</v>
      </c>
    </row>
    <row r="31" spans="1:7">
      <c r="A31">
        <v>30</v>
      </c>
      <c r="B31" t="s">
        <v>45</v>
      </c>
      <c r="C31" t="s">
        <v>21</v>
      </c>
      <c r="D31">
        <v>36.78445</v>
      </c>
      <c r="E31">
        <v>-89.974279999999993</v>
      </c>
      <c r="F31" s="2">
        <v>62716885.119999997</v>
      </c>
      <c r="G31" t="s">
        <v>14</v>
      </c>
    </row>
    <row r="32" spans="1:7">
      <c r="A32">
        <v>31</v>
      </c>
      <c r="B32" t="s">
        <v>46</v>
      </c>
      <c r="C32" t="s">
        <v>23</v>
      </c>
      <c r="D32">
        <v>35.052790000000002</v>
      </c>
      <c r="E32">
        <v>-94.618290000000002</v>
      </c>
      <c r="F32" s="2">
        <v>199613905.5</v>
      </c>
      <c r="G32" t="s">
        <v>10</v>
      </c>
    </row>
    <row r="33" spans="1:7">
      <c r="A33">
        <v>32</v>
      </c>
      <c r="B33" t="s">
        <v>47</v>
      </c>
      <c r="C33" t="s">
        <v>21</v>
      </c>
      <c r="D33">
        <v>34.588479999999997</v>
      </c>
      <c r="E33">
        <v>-94.215670000000003</v>
      </c>
      <c r="F33" s="2">
        <v>166819246.16</v>
      </c>
      <c r="G33" t="s">
        <v>10</v>
      </c>
    </row>
    <row r="34" spans="1:7">
      <c r="A34">
        <v>33</v>
      </c>
      <c r="B34" t="s">
        <v>48</v>
      </c>
      <c r="C34" t="s">
        <v>9</v>
      </c>
      <c r="D34">
        <v>33.985610000000001</v>
      </c>
      <c r="E34">
        <v>-93.852140000000006</v>
      </c>
      <c r="F34" s="2">
        <v>37160221.960000001</v>
      </c>
      <c r="G34" t="s">
        <v>14</v>
      </c>
    </row>
    <row r="35" spans="1:7">
      <c r="A35">
        <v>34</v>
      </c>
      <c r="B35" t="s">
        <v>49</v>
      </c>
      <c r="C35" t="s">
        <v>21</v>
      </c>
      <c r="D35">
        <v>37.838560000000001</v>
      </c>
      <c r="E35">
        <v>-94.350750000000005</v>
      </c>
      <c r="F35" s="2">
        <v>138249763</v>
      </c>
      <c r="G35" t="s">
        <v>14</v>
      </c>
    </row>
    <row r="36" spans="1:7">
      <c r="A36">
        <v>35</v>
      </c>
      <c r="B36" t="s">
        <v>50</v>
      </c>
      <c r="C36" t="s">
        <v>41</v>
      </c>
      <c r="D36">
        <v>39.184989999999999</v>
      </c>
      <c r="E36">
        <v>-96.569320000000005</v>
      </c>
      <c r="F36" s="2">
        <v>131520672.08</v>
      </c>
      <c r="G36" t="s">
        <v>14</v>
      </c>
    </row>
    <row r="37" spans="1:7">
      <c r="A37">
        <v>36</v>
      </c>
      <c r="B37" t="s">
        <v>51</v>
      </c>
      <c r="C37" t="s">
        <v>9</v>
      </c>
      <c r="D37">
        <v>36.065710000000003</v>
      </c>
      <c r="E37">
        <v>-90.510199999999998</v>
      </c>
      <c r="F37" s="2">
        <v>53412214.969999999</v>
      </c>
      <c r="G37" t="s">
        <v>14</v>
      </c>
    </row>
    <row r="38" spans="1:7">
      <c r="A38">
        <v>37</v>
      </c>
      <c r="B38" t="s">
        <v>52</v>
      </c>
      <c r="C38" t="s">
        <v>21</v>
      </c>
      <c r="D38">
        <v>37.779209999999999</v>
      </c>
      <c r="E38">
        <v>-90.41404</v>
      </c>
      <c r="F38" s="2">
        <v>74202740.319999993</v>
      </c>
      <c r="G38" t="s">
        <v>14</v>
      </c>
    </row>
    <row r="39" spans="1:7">
      <c r="A39">
        <v>38</v>
      </c>
      <c r="B39" t="s">
        <v>53</v>
      </c>
      <c r="C39" t="s">
        <v>23</v>
      </c>
      <c r="D39">
        <v>33.883580000000002</v>
      </c>
      <c r="E39">
        <v>-94.831540000000004</v>
      </c>
      <c r="F39" s="2">
        <v>55159626.420000002</v>
      </c>
      <c r="G39" t="s">
        <v>14</v>
      </c>
    </row>
    <row r="40" spans="1:7">
      <c r="A40">
        <v>39</v>
      </c>
      <c r="B40" t="s">
        <v>54</v>
      </c>
      <c r="C40" t="s">
        <v>41</v>
      </c>
      <c r="D40">
        <v>37.823300000000003</v>
      </c>
      <c r="E40">
        <v>-94.733890000000002</v>
      </c>
      <c r="F40" s="2">
        <v>207445542.47</v>
      </c>
      <c r="G40" t="s">
        <v>10</v>
      </c>
    </row>
    <row r="41" spans="1:7">
      <c r="A41">
        <v>40</v>
      </c>
      <c r="B41" t="s">
        <v>55</v>
      </c>
      <c r="C41" t="s">
        <v>21</v>
      </c>
      <c r="D41">
        <v>39.447670000000002</v>
      </c>
      <c r="E41">
        <v>-92.420500000000004</v>
      </c>
      <c r="F41" s="2">
        <v>137870309.78999999</v>
      </c>
      <c r="G41" t="s">
        <v>14</v>
      </c>
    </row>
    <row r="42" spans="1:7">
      <c r="A42">
        <v>41</v>
      </c>
      <c r="B42" t="s">
        <v>56</v>
      </c>
      <c r="C42" t="s">
        <v>23</v>
      </c>
      <c r="D42">
        <v>36.740699999999997</v>
      </c>
      <c r="E42">
        <v>-95.931600000000003</v>
      </c>
      <c r="F42" s="2">
        <v>181341934.88999999</v>
      </c>
      <c r="G42" t="s">
        <v>10</v>
      </c>
    </row>
    <row r="43" spans="1:7">
      <c r="A43">
        <v>42</v>
      </c>
      <c r="B43" t="s">
        <v>57</v>
      </c>
      <c r="C43" t="s">
        <v>41</v>
      </c>
      <c r="D43">
        <v>37.043599999999998</v>
      </c>
      <c r="E43">
        <v>-95.578999999999994</v>
      </c>
      <c r="F43" s="2">
        <v>79565752.430000007</v>
      </c>
      <c r="G43" t="s">
        <v>14</v>
      </c>
    </row>
    <row r="44" spans="1:7">
      <c r="A44">
        <v>43</v>
      </c>
      <c r="B44" t="s">
        <v>58</v>
      </c>
      <c r="C44" t="s">
        <v>41</v>
      </c>
      <c r="D44">
        <v>39.018970000000003</v>
      </c>
      <c r="E44">
        <v>-96.820700000000002</v>
      </c>
      <c r="F44" s="2">
        <v>90565435.409999996</v>
      </c>
      <c r="G44" t="s">
        <v>14</v>
      </c>
    </row>
    <row r="45" spans="1:7">
      <c r="A45">
        <v>44</v>
      </c>
      <c r="B45" t="s">
        <v>59</v>
      </c>
      <c r="C45" t="s">
        <v>21</v>
      </c>
      <c r="D45">
        <v>38.33522</v>
      </c>
      <c r="E45">
        <v>-92.583799999999997</v>
      </c>
      <c r="F45" s="2">
        <v>43293087.840000004</v>
      </c>
      <c r="G45" t="s">
        <v>14</v>
      </c>
    </row>
    <row r="46" spans="1:7">
      <c r="A46">
        <v>45</v>
      </c>
      <c r="B46" t="s">
        <v>60</v>
      </c>
      <c r="C46" t="s">
        <v>9</v>
      </c>
      <c r="D46">
        <v>35.818950000000001</v>
      </c>
      <c r="E46">
        <v>-90.685299999999998</v>
      </c>
      <c r="F46" s="2">
        <v>112395341.42</v>
      </c>
      <c r="G46" t="s">
        <v>14</v>
      </c>
    </row>
  </sheetData>
  <autoFilter ref="A1:G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86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4.4"/>
  <cols>
    <col min="1" max="1" width="10.77734375" bestFit="1" customWidth="1"/>
    <col min="2" max="2" width="13.33203125" bestFit="1" customWidth="1"/>
    <col min="3" max="3" width="16.44140625" bestFit="1" customWidth="1"/>
    <col min="4" max="4" width="20" customWidth="1"/>
    <col min="5" max="5" width="23" customWidth="1"/>
    <col min="7" max="7" width="16.33203125" customWidth="1"/>
  </cols>
  <sheetData>
    <row r="1" spans="1:7">
      <c r="A1" s="3" t="s">
        <v>3</v>
      </c>
      <c r="B1" t="s">
        <v>61</v>
      </c>
      <c r="C1" t="s">
        <v>62</v>
      </c>
      <c r="D1" t="s">
        <v>63</v>
      </c>
      <c r="E1" t="s">
        <v>64</v>
      </c>
      <c r="F1" s="1" t="s">
        <v>3</v>
      </c>
      <c r="G1" s="1" t="s">
        <v>6</v>
      </c>
    </row>
    <row r="2" spans="1:7">
      <c r="A2" t="s">
        <v>9</v>
      </c>
      <c r="B2" s="4">
        <v>14</v>
      </c>
      <c r="C2" s="2">
        <v>2098424225.0600002</v>
      </c>
      <c r="D2">
        <f>C2/B2</f>
        <v>149887444.64714286</v>
      </c>
      <c r="E2" t="str">
        <f>IF(AND(B5&lt;=2,D5&gt;149715977.5),"High Opportunity","")</f>
        <v>High Opportunity</v>
      </c>
      <c r="F2" t="s">
        <v>9</v>
      </c>
      <c r="G2" s="2">
        <v>2098424225</v>
      </c>
    </row>
    <row r="3" spans="1:7">
      <c r="A3" t="s">
        <v>13</v>
      </c>
      <c r="B3" s="4">
        <v>1</v>
      </c>
      <c r="C3" s="2">
        <v>57586735.07</v>
      </c>
      <c r="D3">
        <f t="shared" ref="D3:D8" si="0">C3/B3</f>
        <v>57586735.07</v>
      </c>
      <c r="F3" t="s">
        <v>13</v>
      </c>
      <c r="G3" s="2">
        <v>57586735.07</v>
      </c>
    </row>
    <row r="4" spans="1:7">
      <c r="A4" t="s">
        <v>41</v>
      </c>
      <c r="B4" s="4">
        <v>5</v>
      </c>
      <c r="C4" s="2">
        <v>652513796.17999995</v>
      </c>
      <c r="D4">
        <f t="shared" si="0"/>
        <v>130502759.23599999</v>
      </c>
      <c r="F4" t="s">
        <v>41</v>
      </c>
      <c r="G4" s="2">
        <v>652513796.20000005</v>
      </c>
    </row>
    <row r="5" spans="1:7">
      <c r="A5" t="s">
        <v>37</v>
      </c>
      <c r="B5" s="4">
        <v>1</v>
      </c>
      <c r="C5" s="2">
        <v>198750617.84999999</v>
      </c>
      <c r="D5">
        <f t="shared" si="0"/>
        <v>198750617.84999999</v>
      </c>
      <c r="F5" t="s">
        <v>37</v>
      </c>
      <c r="G5" s="2">
        <v>198750617.80000001</v>
      </c>
    </row>
    <row r="6" spans="1:7">
      <c r="A6" t="s">
        <v>21</v>
      </c>
      <c r="B6" s="4">
        <v>17</v>
      </c>
      <c r="C6" s="2">
        <v>2541583872.9500003</v>
      </c>
      <c r="D6">
        <f t="shared" si="0"/>
        <v>149504933.70294118</v>
      </c>
      <c r="F6" t="s">
        <v>21</v>
      </c>
      <c r="G6" s="2">
        <v>2541583873</v>
      </c>
    </row>
    <row r="7" spans="1:7">
      <c r="A7" t="s">
        <v>23</v>
      </c>
      <c r="B7" s="4">
        <v>7</v>
      </c>
      <c r="C7" s="2">
        <v>1188359740</v>
      </c>
      <c r="D7">
        <f t="shared" si="0"/>
        <v>169765677.14285713</v>
      </c>
      <c r="F7" t="s">
        <v>23</v>
      </c>
      <c r="G7" s="2">
        <v>1188359740</v>
      </c>
    </row>
    <row r="8" spans="1:7">
      <c r="A8" t="s">
        <v>65</v>
      </c>
      <c r="B8" s="4">
        <v>45</v>
      </c>
      <c r="C8" s="2">
        <v>6737218987.1099997</v>
      </c>
      <c r="D8">
        <f t="shared" si="0"/>
        <v>149715977.49133334</v>
      </c>
    </row>
    <row r="114" spans="5:5">
      <c r="E114" t="s">
        <v>66</v>
      </c>
    </row>
    <row r="115" spans="5:5">
      <c r="E115" t="s">
        <v>67</v>
      </c>
    </row>
    <row r="116" spans="5:5">
      <c r="E116" t="s">
        <v>68</v>
      </c>
    </row>
    <row r="117" spans="5:5">
      <c r="E117" t="s">
        <v>69</v>
      </c>
    </row>
    <row r="147" spans="5:5">
      <c r="E147" t="s">
        <v>70</v>
      </c>
    </row>
    <row r="188" spans="5:5">
      <c r="E188" t="s">
        <v>71</v>
      </c>
    </row>
    <row r="217" spans="5:5">
      <c r="E217" t="s">
        <v>72</v>
      </c>
    </row>
    <row r="256" spans="5:5">
      <c r="E256" t="s">
        <v>73</v>
      </c>
    </row>
    <row r="304" spans="5:5">
      <c r="E304" t="s">
        <v>74</v>
      </c>
    </row>
    <row r="305" spans="5:5">
      <c r="E305" t="s">
        <v>75</v>
      </c>
    </row>
    <row r="306" spans="5:5">
      <c r="E306" t="s">
        <v>68</v>
      </c>
    </row>
    <row r="307" spans="5:5">
      <c r="E307" t="s">
        <v>76</v>
      </c>
    </row>
    <row r="308" spans="5:5">
      <c r="E308" t="s">
        <v>77</v>
      </c>
    </row>
    <row r="309" spans="5:5">
      <c r="E309" t="s">
        <v>68</v>
      </c>
    </row>
    <row r="310" spans="5:5">
      <c r="E310" t="s">
        <v>78</v>
      </c>
    </row>
    <row r="380" spans="5:5">
      <c r="E380" t="s">
        <v>79</v>
      </c>
    </row>
    <row r="465" spans="5:8">
      <c r="E465" t="s">
        <v>80</v>
      </c>
    </row>
    <row r="467" spans="5:8" ht="18">
      <c r="E467" s="6" t="s">
        <v>81</v>
      </c>
    </row>
    <row r="469" spans="5:8">
      <c r="E469" s="7" t="s">
        <v>82</v>
      </c>
    </row>
    <row r="471" spans="5:8">
      <c r="E471" s="7" t="s">
        <v>83</v>
      </c>
    </row>
    <row r="473" spans="5:8">
      <c r="E473" t="s">
        <v>84</v>
      </c>
    </row>
    <row r="474" spans="5:8" ht="28.8">
      <c r="E474" s="8" t="s">
        <v>85</v>
      </c>
      <c r="F474" s="8" t="s">
        <v>86</v>
      </c>
      <c r="G474" s="8" t="s">
        <v>87</v>
      </c>
      <c r="H474" s="8" t="s">
        <v>88</v>
      </c>
    </row>
    <row r="475" spans="5:8">
      <c r="E475" s="9">
        <v>5</v>
      </c>
      <c r="F475" s="9">
        <v>11.0513812365918</v>
      </c>
      <c r="G475" s="9">
        <v>0.23065193661382499</v>
      </c>
      <c r="H475" s="9" t="s">
        <v>89</v>
      </c>
    </row>
    <row r="476" spans="5:8">
      <c r="E476" s="9">
        <v>4</v>
      </c>
      <c r="F476" s="9">
        <v>3.4293156990323999</v>
      </c>
      <c r="G476" s="9">
        <v>0.39100133385417002</v>
      </c>
      <c r="H476" s="9" t="s">
        <v>90</v>
      </c>
    </row>
    <row r="477" spans="5:8">
      <c r="E477" s="9">
        <v>4</v>
      </c>
      <c r="F477" s="9">
        <v>1.6210520458633799</v>
      </c>
      <c r="G477" s="9">
        <v>0.397986106494292</v>
      </c>
      <c r="H477" s="9" t="s">
        <v>89</v>
      </c>
    </row>
    <row r="478" spans="5:8">
      <c r="E478" s="9">
        <v>5</v>
      </c>
      <c r="F478" s="9">
        <v>3.6292789551861402</v>
      </c>
      <c r="G478" s="9">
        <v>0.180457684705222</v>
      </c>
      <c r="H478" s="9" t="s">
        <v>89</v>
      </c>
    </row>
    <row r="479" spans="5:8">
      <c r="E479" t="s">
        <v>91</v>
      </c>
    </row>
    <row r="509" spans="5:5">
      <c r="E509" t="s">
        <v>92</v>
      </c>
    </row>
    <row r="510" spans="5:5">
      <c r="E510" t="s">
        <v>68</v>
      </c>
    </row>
    <row r="512" spans="5:5" ht="18">
      <c r="E512" s="6" t="s">
        <v>93</v>
      </c>
    </row>
    <row r="514" spans="5:5">
      <c r="E514" s="7" t="s">
        <v>94</v>
      </c>
    </row>
    <row r="516" spans="5:5">
      <c r="E516" s="7" t="s">
        <v>95</v>
      </c>
    </row>
    <row r="618" spans="5:5">
      <c r="E618" t="s">
        <v>96</v>
      </c>
    </row>
    <row r="652" spans="5:5">
      <c r="E652" t="s">
        <v>97</v>
      </c>
    </row>
    <row r="689" spans="5:5">
      <c r="E689" t="s">
        <v>98</v>
      </c>
    </row>
    <row r="710" spans="5:5">
      <c r="E710" t="s">
        <v>99</v>
      </c>
    </row>
    <row r="736" spans="5:5">
      <c r="E736" t="s">
        <v>100</v>
      </c>
    </row>
    <row r="737" spans="5:5">
      <c r="E737" t="s">
        <v>101</v>
      </c>
    </row>
    <row r="738" spans="5:5">
      <c r="E738" t="s">
        <v>68</v>
      </c>
    </row>
    <row r="794" spans="5:5">
      <c r="E794" t="s">
        <v>102</v>
      </c>
    </row>
    <row r="844" spans="5:5">
      <c r="E844" t="s">
        <v>103</v>
      </c>
    </row>
    <row r="961" spans="5:5">
      <c r="E961" t="s">
        <v>104</v>
      </c>
    </row>
    <row r="1094" spans="5:5">
      <c r="E1094" t="s">
        <v>105</v>
      </c>
    </row>
    <row r="1247" spans="5:5">
      <c r="E1247" s="8"/>
    </row>
    <row r="1323" spans="5:5">
      <c r="E1323" t="s">
        <v>106</v>
      </c>
    </row>
    <row r="1416" spans="5:5">
      <c r="E1416" t="s">
        <v>107</v>
      </c>
    </row>
    <row r="1433" spans="5:5">
      <c r="E1433" t="s">
        <v>108</v>
      </c>
    </row>
    <row r="1543" spans="5:5">
      <c r="E1543" t="s">
        <v>109</v>
      </c>
    </row>
    <row r="1653" spans="5:5">
      <c r="E1653" t="s">
        <v>110</v>
      </c>
    </row>
    <row r="1655" spans="5:5">
      <c r="E1655" t="s">
        <v>111</v>
      </c>
    </row>
    <row r="1657" spans="5:5">
      <c r="E1657" t="s">
        <v>112</v>
      </c>
    </row>
    <row r="1659" spans="5:5" ht="18">
      <c r="E1659" s="6" t="s">
        <v>113</v>
      </c>
    </row>
    <row r="1661" spans="5:5">
      <c r="E1661" s="7" t="s">
        <v>114</v>
      </c>
    </row>
    <row r="1663" spans="5:5">
      <c r="E1663" t="s">
        <v>115</v>
      </c>
    </row>
    <row r="1665" spans="5:5">
      <c r="E1665" t="s">
        <v>116</v>
      </c>
    </row>
    <row r="1666" spans="5:5">
      <c r="E1666" s="10"/>
    </row>
    <row r="1667" spans="5:5">
      <c r="E1667" s="11" t="s">
        <v>117</v>
      </c>
    </row>
    <row r="1668" spans="5:5">
      <c r="E1668" s="11" t="s">
        <v>118</v>
      </c>
    </row>
    <row r="1670" spans="5:5">
      <c r="E1670" t="s">
        <v>119</v>
      </c>
    </row>
    <row r="1671" spans="5:5">
      <c r="E1671" s="10"/>
    </row>
    <row r="1672" spans="5:5">
      <c r="E1672" s="11" t="s">
        <v>120</v>
      </c>
    </row>
    <row r="1673" spans="5:5">
      <c r="E1673" s="11" t="s">
        <v>121</v>
      </c>
    </row>
    <row r="1675" spans="5:5" ht="18">
      <c r="E1675" s="6" t="s">
        <v>122</v>
      </c>
    </row>
    <row r="1676" spans="5:5">
      <c r="E1676" s="10"/>
    </row>
    <row r="1677" spans="5:5">
      <c r="E1677" s="11" t="s">
        <v>123</v>
      </c>
    </row>
    <row r="1678" spans="5:5">
      <c r="E1678" s="11" t="s">
        <v>124</v>
      </c>
    </row>
    <row r="1679" spans="5:5">
      <c r="E1679" s="11" t="s">
        <v>125</v>
      </c>
    </row>
    <row r="1680" spans="5:5">
      <c r="E1680" s="10" t="s">
        <v>126</v>
      </c>
    </row>
    <row r="1681" spans="5:5">
      <c r="E1681" s="10" t="s">
        <v>127</v>
      </c>
    </row>
    <row r="1682" spans="5:5">
      <c r="E1682" s="11" t="s">
        <v>128</v>
      </c>
    </row>
    <row r="1684" spans="5:5">
      <c r="E1684" t="s">
        <v>129</v>
      </c>
    </row>
    <row r="1686" spans="5:5">
      <c r="E1686" t="s">
        <v>130</v>
      </c>
    </row>
    <row r="1688" spans="5:5">
      <c r="E1688" t="s">
        <v>131</v>
      </c>
    </row>
    <row r="1690" spans="5:5">
      <c r="E1690" t="s">
        <v>132</v>
      </c>
    </row>
    <row r="1692" spans="5:5" ht="18">
      <c r="E1692" s="6" t="s">
        <v>133</v>
      </c>
    </row>
    <row r="1694" spans="5:5">
      <c r="E1694" t="s">
        <v>134</v>
      </c>
    </row>
    <row r="1695" spans="5:5">
      <c r="E1695" s="10"/>
    </row>
    <row r="1696" spans="5:5">
      <c r="E1696" s="11" t="s">
        <v>135</v>
      </c>
    </row>
    <row r="1697" spans="5:5">
      <c r="E1697" s="11" t="s">
        <v>118</v>
      </c>
    </row>
    <row r="1698" spans="5:5">
      <c r="E1698" s="11" t="s">
        <v>136</v>
      </c>
    </row>
    <row r="1700" spans="5:5">
      <c r="E1700" t="s">
        <v>137</v>
      </c>
    </row>
    <row r="1701" spans="5:5">
      <c r="E1701" s="5"/>
    </row>
    <row r="1702" spans="5:5">
      <c r="E1702" s="12">
        <f>C4/B4</f>
        <v>130502759.23599999</v>
      </c>
    </row>
    <row r="1704" spans="5:5">
      <c r="E1704" t="s">
        <v>138</v>
      </c>
    </row>
    <row r="1706" spans="5:5" ht="18">
      <c r="E1706" s="6" t="s">
        <v>139</v>
      </c>
    </row>
    <row r="1708" spans="5:5">
      <c r="E1708" t="s">
        <v>134</v>
      </c>
    </row>
    <row r="1709" spans="5:5">
      <c r="E1709" s="10"/>
    </row>
    <row r="1710" spans="5:5">
      <c r="E1710" s="11" t="s">
        <v>135</v>
      </c>
    </row>
    <row r="1711" spans="5:5">
      <c r="E1711" s="11" t="s">
        <v>136</v>
      </c>
    </row>
    <row r="1712" spans="5:5">
      <c r="E1712" s="11" t="s">
        <v>140</v>
      </c>
    </row>
    <row r="1714" spans="5:5">
      <c r="E1714" s="7" t="s">
        <v>141</v>
      </c>
    </row>
    <row r="1715" spans="5:5">
      <c r="E1715" s="5"/>
    </row>
    <row r="1716" spans="5:5">
      <c r="E1716" s="12" t="str">
        <f>IF(AND(B4&lt;=2,D4&gt;AVERAGE($D$4:$D$9)),"High Opportunity","")</f>
        <v/>
      </c>
    </row>
    <row r="1718" spans="5:5">
      <c r="E1718" t="s">
        <v>142</v>
      </c>
    </row>
    <row r="1720" spans="5:5">
      <c r="E1720" t="s">
        <v>143</v>
      </c>
    </row>
    <row r="1749" spans="5:5">
      <c r="E1749" t="s">
        <v>144</v>
      </c>
    </row>
    <row r="1750" spans="5:5">
      <c r="E1750" t="s">
        <v>145</v>
      </c>
    </row>
    <row r="1752" spans="5:5" ht="18">
      <c r="E1752" s="6" t="s">
        <v>146</v>
      </c>
    </row>
    <row r="1754" spans="5:5">
      <c r="E1754" s="7" t="s">
        <v>147</v>
      </c>
    </row>
    <row r="1755" spans="5:5">
      <c r="E1755" s="5"/>
    </row>
    <row r="1756" spans="5:5">
      <c r="E1756" s="12">
        <f>C2/B2</f>
        <v>149887444.64714286</v>
      </c>
    </row>
    <row r="1758" spans="5:5">
      <c r="E1758" t="s">
        <v>148</v>
      </c>
    </row>
    <row r="1760" spans="5:5">
      <c r="E1760" t="s">
        <v>149</v>
      </c>
    </row>
    <row r="1762" spans="5:6" ht="28.8">
      <c r="E1762" s="8" t="s">
        <v>3</v>
      </c>
      <c r="F1762" s="8" t="s">
        <v>63</v>
      </c>
    </row>
    <row r="1763" spans="5:6">
      <c r="E1763" s="9" t="s">
        <v>9</v>
      </c>
      <c r="F1763" s="13">
        <v>149887446.80000001</v>
      </c>
    </row>
    <row r="1764" spans="5:6">
      <c r="E1764" s="9" t="s">
        <v>13</v>
      </c>
      <c r="F1764" s="13">
        <v>57586735.07</v>
      </c>
    </row>
    <row r="1765" spans="5:6">
      <c r="E1765" s="9" t="s">
        <v>41</v>
      </c>
      <c r="F1765" s="13">
        <v>130502759.2</v>
      </c>
    </row>
    <row r="1766" spans="5:6">
      <c r="E1766" s="9" t="s">
        <v>37</v>
      </c>
      <c r="F1766" s="13">
        <v>198750617.80000001</v>
      </c>
    </row>
    <row r="1767" spans="5:6">
      <c r="E1767" s="9" t="s">
        <v>21</v>
      </c>
      <c r="F1767" s="13">
        <v>149504933.69999999</v>
      </c>
    </row>
    <row r="1768" spans="5:6">
      <c r="E1768" s="9" t="s">
        <v>23</v>
      </c>
      <c r="F1768" s="13">
        <v>169765677.09999999</v>
      </c>
    </row>
    <row r="1770" spans="5:6" ht="18">
      <c r="E1770" s="6" t="s">
        <v>150</v>
      </c>
    </row>
    <row r="1772" spans="5:6">
      <c r="E1772" t="s">
        <v>151</v>
      </c>
    </row>
    <row r="1773" spans="5:6">
      <c r="E1773" s="5"/>
    </row>
    <row r="1774" spans="5:6">
      <c r="E1774" s="12">
        <f>C8/B8</f>
        <v>149715977.49133334</v>
      </c>
    </row>
    <row r="1776" spans="5:6">
      <c r="E1776" t="s">
        <v>152</v>
      </c>
    </row>
    <row r="1778" spans="5:5">
      <c r="E1778" s="7">
        <v>149715977.5</v>
      </c>
    </row>
    <row r="1782" spans="5:5" ht="18">
      <c r="E1782" s="6" t="s">
        <v>153</v>
      </c>
    </row>
    <row r="1784" spans="5:5">
      <c r="E1784" s="7" t="s">
        <v>154</v>
      </c>
    </row>
    <row r="1786" spans="5:5">
      <c r="E1786" s="14" t="s">
        <v>64</v>
      </c>
    </row>
  </sheetData>
  <pageMargins left="0.75" right="0.75" top="1" bottom="1" header="0.5" footer="0.5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data-set</vt:lpstr>
      <vt:lpstr>Final Geo Analysis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Shaikh</cp:lastModifiedBy>
  <dcterms:created xsi:type="dcterms:W3CDTF">2026-08-16T14:00:39Z</dcterms:created>
  <dcterms:modified xsi:type="dcterms:W3CDTF">2026-08-16T14:23:10Z</dcterms:modified>
</cp:coreProperties>
</file>