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shu\Downloads\"/>
    </mc:Choice>
  </mc:AlternateContent>
  <xr:revisionPtr revIDLastSave="0" documentId="13_ncr:1_{769230D8-E2AB-4BAB-A769-5F29E85E1F1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3" r:id="rId2"/>
    <sheet name="Sheet3" sheetId="2" r:id="rId3"/>
  </sheets>
  <definedNames>
    <definedName name="Slicer_Category1">#N/A</definedName>
    <definedName name="Slicer_Category2">#N/A</definedName>
    <definedName name="Slicer_Date">#N/A</definedName>
    <definedName name="Slicer_Date1">#N/A</definedName>
    <definedName name="Slicer_Payment_Mode">#N/A</definedName>
    <definedName name="Slicer_Region1">#N/A</definedName>
    <definedName name="Slicer_Region2">#N/A</definedName>
    <definedName name="Slicer_Salesperson">#N/A</definedName>
    <definedName name="Slicer_Salesperson1">#N/A</definedName>
  </definedNames>
  <calcPr calcId="191029"/>
  <pivotCaches>
    <pivotCache cacheId="2"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2" i="1" l="1"/>
  <c r="L32" i="1"/>
  <c r="O35" i="1"/>
  <c r="O28" i="1"/>
  <c r="L28" i="1"/>
  <c r="L35" i="1"/>
  <c r="I33" i="1"/>
  <c r="I31" i="1"/>
  <c r="I29" i="1"/>
  <c r="I27" i="1"/>
  <c r="F6" i="1"/>
  <c r="F7" i="1"/>
  <c r="F8" i="1"/>
  <c r="F9" i="1"/>
  <c r="F10" i="1"/>
  <c r="F11" i="1"/>
  <c r="F12" i="1"/>
  <c r="F13" i="1"/>
  <c r="F14" i="1"/>
  <c r="F15" i="1"/>
  <c r="F16" i="1"/>
  <c r="F17" i="1"/>
  <c r="F18" i="1"/>
  <c r="F19" i="1"/>
  <c r="F20" i="1"/>
  <c r="F21" i="1"/>
  <c r="F22" i="1"/>
  <c r="F23" i="1"/>
  <c r="F24" i="1"/>
  <c r="F5" i="1"/>
</calcChain>
</file>

<file path=xl/sharedStrings.xml><?xml version="1.0" encoding="utf-8"?>
<sst xmlns="http://schemas.openxmlformats.org/spreadsheetml/2006/main" count="238" uniqueCount="96">
  <si>
    <t>Order ID</t>
  </si>
  <si>
    <t>Date</t>
  </si>
  <si>
    <t>Region</t>
  </si>
  <si>
    <t>Salesperson</t>
  </si>
  <si>
    <t>Category</t>
  </si>
  <si>
    <t>Product</t>
  </si>
  <si>
    <t>Units</t>
  </si>
  <si>
    <t>Unit Price</t>
  </si>
  <si>
    <t>Sales</t>
  </si>
  <si>
    <t>Profit</t>
  </si>
  <si>
    <t>Customer Type</t>
  </si>
  <si>
    <t>Payment Mode</t>
  </si>
  <si>
    <t>O001</t>
  </si>
  <si>
    <t>North</t>
  </si>
  <si>
    <t>Amit</t>
  </si>
  <si>
    <t>Laptop</t>
  </si>
  <si>
    <t>Dell</t>
  </si>
  <si>
    <t>New</t>
  </si>
  <si>
    <t>UPI</t>
  </si>
  <si>
    <t>O002</t>
  </si>
  <si>
    <t>South</t>
  </si>
  <si>
    <t>Priya</t>
  </si>
  <si>
    <t>Mobile</t>
  </si>
  <si>
    <t>Samsung</t>
  </si>
  <si>
    <t>Existing</t>
  </si>
  <si>
    <t>Card</t>
  </si>
  <si>
    <t>O003</t>
  </si>
  <si>
    <t>West</t>
  </si>
  <si>
    <t>Rahul</t>
  </si>
  <si>
    <t>Accessories</t>
  </si>
  <si>
    <t>Mouse</t>
  </si>
  <si>
    <t>Cash</t>
  </si>
  <si>
    <t>O004</t>
  </si>
  <si>
    <t>East</t>
  </si>
  <si>
    <t>Sneha</t>
  </si>
  <si>
    <t>HP</t>
  </si>
  <si>
    <t>O005</t>
  </si>
  <si>
    <t>Neha</t>
  </si>
  <si>
    <t>Printer</t>
  </si>
  <si>
    <t>Canon</t>
  </si>
  <si>
    <t>O006</t>
  </si>
  <si>
    <t>Vivo</t>
  </si>
  <si>
    <t>O007</t>
  </si>
  <si>
    <t>Lenovo</t>
  </si>
  <si>
    <t>O008</t>
  </si>
  <si>
    <t>Keyboard</t>
  </si>
  <si>
    <t>O009</t>
  </si>
  <si>
    <t>Epson</t>
  </si>
  <si>
    <t>O010</t>
  </si>
  <si>
    <t>Oppo</t>
  </si>
  <si>
    <t>O011</t>
  </si>
  <si>
    <t>Acer</t>
  </si>
  <si>
    <t>O012</t>
  </si>
  <si>
    <t>Webcam</t>
  </si>
  <si>
    <t>O013</t>
  </si>
  <si>
    <t>Redmi</t>
  </si>
  <si>
    <t>O014</t>
  </si>
  <si>
    <t>Brother</t>
  </si>
  <si>
    <t>O015</t>
  </si>
  <si>
    <t>Asus</t>
  </si>
  <si>
    <t>O016</t>
  </si>
  <si>
    <t>Pendrive</t>
  </si>
  <si>
    <t>O017</t>
  </si>
  <si>
    <t>Realme</t>
  </si>
  <si>
    <t>O018</t>
  </si>
  <si>
    <t>O019</t>
  </si>
  <si>
    <t>O020</t>
  </si>
  <si>
    <t>Headset</t>
  </si>
  <si>
    <t>month</t>
  </si>
  <si>
    <t>total sale</t>
  </si>
  <si>
    <t>total profit</t>
  </si>
  <si>
    <t xml:space="preserve">total order </t>
  </si>
  <si>
    <t xml:space="preserve">UNIT SOLD </t>
  </si>
  <si>
    <t>-------------------------------------------------------</t>
  </si>
  <si>
    <t xml:space="preserve">                 SALES DASHBOARD</t>
  </si>
  <si>
    <t xml:space="preserve"> Total Sales     Total Profit     Orders     Units Sold</t>
  </si>
  <si>
    <t xml:space="preserve"> Region Sales        Category Sales</t>
  </si>
  <si>
    <t xml:space="preserve"> Monthly Sales       Salesperson Performance</t>
  </si>
  <si>
    <t xml:space="preserve"> Payment Mode        Customer Type</t>
  </si>
  <si>
    <t xml:space="preserve"> Region | Category | Salesperson | Payment | Timeline</t>
  </si>
  <si>
    <t>Grand Total</t>
  </si>
  <si>
    <t>Sum of Sales</t>
  </si>
  <si>
    <t>January</t>
  </si>
  <si>
    <t>Sum of Profit</t>
  </si>
  <si>
    <t>Count of Order ID</t>
  </si>
  <si>
    <t>ORDER ID</t>
  </si>
  <si>
    <t>PRODUCT</t>
  </si>
  <si>
    <t>Payment mode</t>
  </si>
  <si>
    <t>product</t>
  </si>
  <si>
    <t>price</t>
  </si>
  <si>
    <t xml:space="preserve">date </t>
  </si>
  <si>
    <t>SALES</t>
  </si>
  <si>
    <t>date</t>
  </si>
  <si>
    <t>PROFIT</t>
  </si>
  <si>
    <t>UNIT</t>
  </si>
  <si>
    <t>Formula1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</si>
</sst>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w Cen MT"/>
      <family val="2"/>
      <scheme val="minor"/>
    </font>
    <font>
      <b/>
      <sz val="11"/>
      <color theme="0"/>
      <name val="Tw Cen MT"/>
      <family val="2"/>
      <scheme val="minor"/>
    </font>
    <font>
      <b/>
      <sz val="11"/>
      <color theme="1"/>
      <name val="Tw Cen MT"/>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s>
  <borders count="7">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right" vertical="center" wrapText="1"/>
    </xf>
    <xf numFmtId="0" fontId="0" fillId="3" borderId="3" xfId="0" applyFill="1" applyBorder="1" applyAlignment="1">
      <alignment wrapText="1"/>
    </xf>
    <xf numFmtId="15" fontId="0" fillId="3" borderId="4" xfId="0" applyNumberFormat="1" applyFill="1" applyBorder="1" applyAlignment="1">
      <alignment wrapText="1"/>
    </xf>
    <xf numFmtId="0" fontId="0" fillId="3" borderId="4" xfId="0" applyFill="1" applyBorder="1" applyAlignment="1">
      <alignment wrapText="1"/>
    </xf>
    <xf numFmtId="0" fontId="0" fillId="3" borderId="4" xfId="0" applyFill="1" applyBorder="1" applyAlignment="1">
      <alignment horizontal="right" wrapText="1"/>
    </xf>
    <xf numFmtId="0" fontId="0" fillId="4" borderId="5" xfId="0" applyFill="1" applyBorder="1" applyAlignment="1">
      <alignment wrapText="1"/>
    </xf>
    <xf numFmtId="15" fontId="0" fillId="4" borderId="1" xfId="0" applyNumberFormat="1" applyFill="1" applyBorder="1" applyAlignment="1">
      <alignment wrapText="1"/>
    </xf>
    <xf numFmtId="0" fontId="0" fillId="4" borderId="1" xfId="0" applyFill="1" applyBorder="1" applyAlignment="1">
      <alignment wrapText="1"/>
    </xf>
    <xf numFmtId="0" fontId="0" fillId="4" borderId="1" xfId="0" applyFill="1" applyBorder="1" applyAlignment="1">
      <alignment horizontal="right" wrapText="1"/>
    </xf>
    <xf numFmtId="0" fontId="0" fillId="3" borderId="5" xfId="0" applyFill="1" applyBorder="1" applyAlignment="1">
      <alignment wrapText="1"/>
    </xf>
    <xf numFmtId="15" fontId="0" fillId="3" borderId="1" xfId="0" applyNumberFormat="1" applyFill="1" applyBorder="1" applyAlignment="1">
      <alignment wrapText="1"/>
    </xf>
    <xf numFmtId="0" fontId="0" fillId="3" borderId="1" xfId="0" applyFill="1" applyBorder="1" applyAlignment="1">
      <alignment wrapText="1"/>
    </xf>
    <xf numFmtId="0" fontId="0" fillId="3" borderId="1" xfId="0" applyFill="1" applyBorder="1" applyAlignment="1">
      <alignment horizontal="right" wrapText="1"/>
    </xf>
    <xf numFmtId="0" fontId="0" fillId="0" borderId="0" xfId="0" pivotButton="1"/>
    <xf numFmtId="0" fontId="0" fillId="5" borderId="0" xfId="0" applyFill="1"/>
    <xf numFmtId="0" fontId="0" fillId="0" borderId="6" xfId="0" applyBorder="1"/>
    <xf numFmtId="0" fontId="2" fillId="0" borderId="6" xfId="0" applyFont="1" applyBorder="1"/>
    <xf numFmtId="14" fontId="0" fillId="0" borderId="6" xfId="0" applyNumberFormat="1" applyBorder="1"/>
    <xf numFmtId="0" fontId="0" fillId="0" borderId="0" xfId="0" applyNumberFormat="1"/>
  </cellXfs>
  <cellStyles count="1">
    <cellStyle name="Normal" xfId="0" builtinId="0"/>
  </cellStyles>
  <dxfs count="15">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numFmt numFmtId="20" formatCode="dd/mmm/yy"/>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solid">
          <fgColor theme="4" tint="0.59999389629810485"/>
          <bgColor theme="4" tint="0.59999389629810485"/>
        </patternFill>
      </fill>
      <alignment horizontal="general" vertical="bottom" textRotation="0" wrapText="1" indent="0" justifyLastLine="0" shrinkToFit="0" readingOrder="0"/>
      <border diagonalUp="0" diagonalDown="0">
        <left/>
        <right/>
        <top style="thick">
          <color theme="0"/>
        </top>
        <bottom/>
        <vertical/>
        <horizontal/>
      </border>
    </dxf>
    <dxf>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0"/>
        </top>
        <bottom/>
        <vertical/>
        <horizontal/>
      </border>
    </dxf>
    <dxf>
      <fill>
        <patternFill patternType="solid">
          <fgColor theme="4" tint="0.79998168889431442"/>
          <bgColor theme="4" tint="0.79998168889431442"/>
        </patternFill>
      </fill>
      <alignment horizontal="right" vertical="bottom" textRotation="0" wrapText="1" indent="0" justifyLastLine="0" shrinkToFit="0" readingOrder="0"/>
    </dxf>
    <dxf>
      <font>
        <b/>
        <i val="0"/>
        <strike val="0"/>
        <condense val="0"/>
        <extend val="0"/>
        <outline val="0"/>
        <shadow val="0"/>
        <u val="none"/>
        <vertAlign val="baseline"/>
        <sz val="11"/>
        <color theme="0"/>
        <name val="Tw Cen MT"/>
        <family val="2"/>
        <scheme val="minor"/>
      </font>
      <fill>
        <patternFill patternType="solid">
          <fgColor theme="4"/>
          <bgColor theme="4"/>
        </patternFill>
      </fill>
      <alignment horizontal="right"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Lit>
              <c:ptCount val="4"/>
              <c:pt idx="0">
                <c:v>East</c:v>
              </c:pt>
              <c:pt idx="1">
                <c:v>North</c:v>
              </c:pt>
              <c:pt idx="2">
                <c:v>South</c:v>
              </c:pt>
              <c:pt idx="3">
                <c:v>West</c:v>
              </c:pt>
            </c:strLit>
          </c:cat>
          <c:val>
            <c:numLit>
              <c:formatCode>General</c:formatCode>
              <c:ptCount val="4"/>
              <c:pt idx="0">
                <c:v>116000</c:v>
              </c:pt>
              <c:pt idx="1">
                <c:v>317000</c:v>
              </c:pt>
              <c:pt idx="2">
                <c:v>291000</c:v>
              </c:pt>
              <c:pt idx="3">
                <c:v>329000</c:v>
              </c:pt>
            </c:numLit>
          </c:val>
          <c:extLst>
            <c:ext xmlns:c16="http://schemas.microsoft.com/office/drawing/2014/chart" uri="{C3380CC4-5D6E-409C-BE32-E72D297353CC}">
              <c16:uniqueId val="{00000000-8E31-4637-ADE4-74BFF14AF6F2}"/>
            </c:ext>
          </c:extLst>
        </c:ser>
        <c:dLbls>
          <c:showLegendKey val="0"/>
          <c:showVal val="0"/>
          <c:showCatName val="0"/>
          <c:showSerName val="0"/>
          <c:showPercent val="0"/>
          <c:showBubbleSize val="0"/>
        </c:dLbls>
        <c:gapWidth val="100"/>
        <c:overlap val="-24"/>
        <c:axId val="395610400"/>
        <c:axId val="395612800"/>
      </c:barChart>
      <c:catAx>
        <c:axId val="395610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612800"/>
        <c:crosses val="autoZero"/>
        <c:auto val="1"/>
        <c:lblAlgn val="ctr"/>
        <c:lblOffset val="100"/>
        <c:noMultiLvlLbl val="0"/>
      </c:catAx>
      <c:valAx>
        <c:axId val="3956128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a:t>
                </a:r>
              </a:p>
            </c:rich>
          </c:tx>
          <c:layout>
            <c:manualLayout>
              <c:xMode val="edge"/>
              <c:yMode val="edge"/>
              <c:x val="3.9376437331568488E-2"/>
              <c:y val="0.3897113120389895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56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[EXCEL_REPORT.xlsx]Sheet2!PivotTable8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CATEGORY WISE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25334632305733018"/>
          <c:y val="7.925630461122291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100000"/>
                  <a:shade val="85000"/>
                  <a:satMod val="100000"/>
                  <a:lumMod val="100000"/>
                </a:schemeClr>
              </a:gs>
              <a:gs pos="100000">
                <a:schemeClr val="accent6">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7795996616647"/>
          <c:y val="0.36547913529938403"/>
          <c:w val="0.68576007072063305"/>
          <c:h val="0.39825406035972133"/>
        </c:manualLayout>
      </c:layout>
      <c:barChart>
        <c:barDir val="col"/>
        <c:grouping val="stacked"/>
        <c:varyColors val="0"/>
        <c:ser>
          <c:idx val="0"/>
          <c:order val="0"/>
          <c:tx>
            <c:strRef>
              <c:f>Sheet2!$H$5</c:f>
              <c:strCache>
                <c:ptCount val="1"/>
                <c:pt idx="0">
                  <c:v>Total</c:v>
                </c:pt>
              </c:strCache>
            </c:strRef>
          </c:tx>
          <c:spPr>
            <a:gradFill rotWithShape="1">
              <a:gsLst>
                <a:gs pos="0">
                  <a:schemeClr val="accent6">
                    <a:tint val="100000"/>
                    <a:shade val="85000"/>
                    <a:satMod val="100000"/>
                    <a:lumMod val="100000"/>
                  </a:schemeClr>
                </a:gs>
                <a:gs pos="100000">
                  <a:schemeClr val="accent6">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Sheet2!$G$6:$G$10</c:f>
              <c:strCache>
                <c:ptCount val="4"/>
                <c:pt idx="0">
                  <c:v>Accessories</c:v>
                </c:pt>
                <c:pt idx="1">
                  <c:v>Laptop</c:v>
                </c:pt>
                <c:pt idx="2">
                  <c:v>Mobile</c:v>
                </c:pt>
                <c:pt idx="3">
                  <c:v>Printer</c:v>
                </c:pt>
              </c:strCache>
            </c:strRef>
          </c:cat>
          <c:val>
            <c:numRef>
              <c:f>Sheet2!$H$6:$H$10</c:f>
              <c:numCache>
                <c:formatCode>General</c:formatCode>
                <c:ptCount val="4"/>
                <c:pt idx="0">
                  <c:v>63000</c:v>
                </c:pt>
                <c:pt idx="1">
                  <c:v>492000</c:v>
                </c:pt>
                <c:pt idx="2">
                  <c:v>383000</c:v>
                </c:pt>
                <c:pt idx="3">
                  <c:v>115000</c:v>
                </c:pt>
              </c:numCache>
            </c:numRef>
          </c:val>
          <c:extLst>
            <c:ext xmlns:c16="http://schemas.microsoft.com/office/drawing/2014/chart" uri="{C3380CC4-5D6E-409C-BE32-E72D297353CC}">
              <c16:uniqueId val="{00000000-9E05-4AB1-AC92-876640ACA7D1}"/>
            </c:ext>
          </c:extLst>
        </c:ser>
        <c:dLbls>
          <c:showLegendKey val="0"/>
          <c:showVal val="0"/>
          <c:showCatName val="0"/>
          <c:showSerName val="0"/>
          <c:showPercent val="0"/>
          <c:showBubbleSize val="0"/>
        </c:dLbls>
        <c:gapWidth val="150"/>
        <c:overlap val="100"/>
        <c:axId val="719368816"/>
        <c:axId val="719370736"/>
      </c:barChart>
      <c:catAx>
        <c:axId val="719368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4603281415441753"/>
              <c:y val="0.8778979814281987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719370736"/>
        <c:crosses val="autoZero"/>
        <c:auto val="1"/>
        <c:lblAlgn val="ctr"/>
        <c:lblOffset val="100"/>
        <c:noMultiLvlLbl val="0"/>
      </c:catAx>
      <c:valAx>
        <c:axId val="7193707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1936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[EXCEL_REPORT.xlsx]Sheet2!PivotTable4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SALESPERSON WISE PROFIT</a:t>
            </a:r>
          </a:p>
          <a:p>
            <a:pPr>
              <a:defRPr/>
            </a:pPr>
            <a:endParaRPr lang="en-IN"/>
          </a:p>
          <a:p>
            <a:pPr>
              <a:defRPr/>
            </a:pPr>
            <a:endParaRPr lang="en-IN"/>
          </a:p>
        </c:rich>
      </c:tx>
      <c:layout>
        <c:manualLayout>
          <c:xMode val="edge"/>
          <c:yMode val="edge"/>
          <c:x val="0.14835629825100927"/>
          <c:y val="0.1053113938099602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9290721602713"/>
          <c:y val="0.34804066264740424"/>
          <c:w val="0.65018638561419095"/>
          <c:h val="0.38215254226490181"/>
        </c:manualLayout>
      </c:layout>
      <c:barChart>
        <c:barDir val="col"/>
        <c:grouping val="percentStacked"/>
        <c:varyColors val="0"/>
        <c:ser>
          <c:idx val="0"/>
          <c:order val="0"/>
          <c:tx>
            <c:strRef>
              <c:f>Sheet2!$N$5</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Sheet2!$M$6:$M$11</c:f>
              <c:strCache>
                <c:ptCount val="5"/>
                <c:pt idx="0">
                  <c:v>Amit</c:v>
                </c:pt>
                <c:pt idx="1">
                  <c:v>Neha</c:v>
                </c:pt>
                <c:pt idx="2">
                  <c:v>Priya</c:v>
                </c:pt>
                <c:pt idx="3">
                  <c:v>Rahul</c:v>
                </c:pt>
                <c:pt idx="4">
                  <c:v>Sneha</c:v>
                </c:pt>
              </c:strCache>
            </c:strRef>
          </c:cat>
          <c:val>
            <c:numRef>
              <c:f>Sheet2!$N$6:$N$11</c:f>
              <c:numCache>
                <c:formatCode>General</c:formatCode>
                <c:ptCount val="5"/>
                <c:pt idx="0">
                  <c:v>54000</c:v>
                </c:pt>
                <c:pt idx="1">
                  <c:v>33800</c:v>
                </c:pt>
                <c:pt idx="2">
                  <c:v>32500</c:v>
                </c:pt>
                <c:pt idx="3">
                  <c:v>18900</c:v>
                </c:pt>
                <c:pt idx="4">
                  <c:v>43500</c:v>
                </c:pt>
              </c:numCache>
            </c:numRef>
          </c:val>
          <c:extLst>
            <c:ext xmlns:c16="http://schemas.microsoft.com/office/drawing/2014/chart" uri="{C3380CC4-5D6E-409C-BE32-E72D297353CC}">
              <c16:uniqueId val="{00000000-3B81-4B47-8BAF-549F191FE137}"/>
            </c:ext>
          </c:extLst>
        </c:ser>
        <c:dLbls>
          <c:showLegendKey val="0"/>
          <c:showVal val="0"/>
          <c:showCatName val="0"/>
          <c:showSerName val="0"/>
          <c:showPercent val="0"/>
          <c:showBubbleSize val="0"/>
        </c:dLbls>
        <c:gapWidth val="150"/>
        <c:overlap val="100"/>
        <c:axId val="940340896"/>
        <c:axId val="940341856"/>
      </c:barChart>
      <c:catAx>
        <c:axId val="9403408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SALESPERSON</a:t>
                </a:r>
              </a:p>
            </c:rich>
          </c:tx>
          <c:layout>
            <c:manualLayout>
              <c:xMode val="edge"/>
              <c:yMode val="edge"/>
              <c:x val="0.40865919130734923"/>
              <c:y val="0.8679865533798116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40341856"/>
        <c:crosses val="autoZero"/>
        <c:auto val="1"/>
        <c:lblAlgn val="ctr"/>
        <c:lblOffset val="100"/>
        <c:noMultiLvlLbl val="0"/>
      </c:catAx>
      <c:valAx>
        <c:axId val="9403418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layout>
            <c:manualLayout>
              <c:xMode val="edge"/>
              <c:yMode val="edge"/>
              <c:x val="3.6011438078242003E-2"/>
              <c:y val="0.3884951974839614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403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[EXCEL_REPORT.xlsx]Sheet2!PivotTable6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TYPE</a:t>
            </a:r>
          </a:p>
          <a:p>
            <a:pPr>
              <a:defRPr/>
            </a:pPr>
            <a:endParaRPr lang="en-US"/>
          </a:p>
        </c:rich>
      </c:tx>
      <c:layout>
        <c:manualLayout>
          <c:xMode val="edge"/>
          <c:yMode val="edge"/>
          <c:x val="0.35867344706911641"/>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0.20182111564922864"/>
              <c:y val="-0.113316732186421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7858513193961342"/>
                  <c:h val="0.1300324860006826"/>
                </c:manualLayout>
              </c15:layout>
            </c:ext>
          </c:extLst>
        </c:dLbl>
      </c:pivotFmt>
      <c:pivotFmt>
        <c:idx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0.15724671000425933"/>
              <c:y val="6.491587769083945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181410878475959E-2"/>
                  <c:h val="0.13112411674735497"/>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000000000000001E-2"/>
          <c:y val="0.23550707203266255"/>
          <c:w val="0.72222222222222221"/>
          <c:h val="0.68578922426363376"/>
        </c:manualLayout>
      </c:layout>
      <c:pie3DChart>
        <c:varyColors val="1"/>
        <c:ser>
          <c:idx val="0"/>
          <c:order val="0"/>
          <c:tx>
            <c:strRef>
              <c:f>Sheet2!$H$14</c:f>
              <c:strCache>
                <c:ptCount val="1"/>
                <c:pt idx="0">
                  <c:v>Total</c:v>
                </c:pt>
              </c:strCache>
            </c:strRef>
          </c:tx>
          <c:dPt>
            <c:idx val="0"/>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1-25CE-49EC-9FAA-AC2C3F73C422}"/>
              </c:ext>
            </c:extLst>
          </c:dPt>
          <c:dPt>
            <c:idx val="1"/>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25CE-49EC-9FAA-AC2C3F73C422}"/>
              </c:ext>
            </c:extLst>
          </c:dPt>
          <c:dLbls>
            <c:dLbl>
              <c:idx val="0"/>
              <c:layout>
                <c:manualLayout>
                  <c:x val="-0.20182111564922864"/>
                  <c:y val="-0.1133167321864216"/>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7858513193961342"/>
                      <c:h val="0.1300324860006826"/>
                    </c:manualLayout>
                  </c15:layout>
                </c:ext>
                <c:ext xmlns:c16="http://schemas.microsoft.com/office/drawing/2014/chart" uri="{C3380CC4-5D6E-409C-BE32-E72D297353CC}">
                  <c16:uniqueId val="{00000001-25CE-49EC-9FAA-AC2C3F73C422}"/>
                </c:ext>
              </c:extLst>
            </c:dLbl>
            <c:dLbl>
              <c:idx val="1"/>
              <c:layout>
                <c:manualLayout>
                  <c:x val="0.15724671000425933"/>
                  <c:y val="6.491587769083945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8.7181410878475959E-2"/>
                      <c:h val="0.13112411674735497"/>
                    </c:manualLayout>
                  </c15:layout>
                </c:ext>
                <c:ext xmlns:c16="http://schemas.microsoft.com/office/drawing/2014/chart" uri="{C3380CC4-5D6E-409C-BE32-E72D297353CC}">
                  <c16:uniqueId val="{00000003-25CE-49EC-9FAA-AC2C3F73C422}"/>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Sheet2!$G$15:$G$17</c:f>
              <c:strCache>
                <c:ptCount val="2"/>
                <c:pt idx="0">
                  <c:v>Existing</c:v>
                </c:pt>
                <c:pt idx="1">
                  <c:v>New</c:v>
                </c:pt>
              </c:strCache>
            </c:strRef>
          </c:cat>
          <c:val>
            <c:numRef>
              <c:f>Sheet2!$H$15:$H$17</c:f>
              <c:numCache>
                <c:formatCode>General</c:formatCode>
                <c:ptCount val="2"/>
                <c:pt idx="0">
                  <c:v>11</c:v>
                </c:pt>
                <c:pt idx="1">
                  <c:v>9</c:v>
                </c:pt>
              </c:numCache>
            </c:numRef>
          </c:val>
          <c:extLst>
            <c:ext xmlns:c16="http://schemas.microsoft.com/office/drawing/2014/chart" uri="{C3380CC4-5D6E-409C-BE32-E72D297353CC}">
              <c16:uniqueId val="{00000004-25CE-49EC-9FAA-AC2C3F73C42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[EXCEL_REPORT.xlsx]Sheet2!PivotTable3</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SALES BY MONTH</a:t>
            </a:r>
          </a:p>
          <a:p>
            <a:pPr>
              <a:defRPr/>
            </a:pPr>
            <a:endParaRPr lang="en-US"/>
          </a:p>
        </c:rich>
      </c:tx>
      <c:layout>
        <c:manualLayout>
          <c:xMode val="edge"/>
          <c:yMode val="edge"/>
          <c:x val="0.35995376342489943"/>
          <c:y val="6.619329401174532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5358193477386"/>
          <c:y val="0.38394172213173017"/>
          <c:w val="0.67349304776618479"/>
          <c:h val="0.32587943785498941"/>
        </c:manualLayout>
      </c:layout>
      <c:lineChart>
        <c:grouping val="percentStacked"/>
        <c:varyColors val="0"/>
        <c:ser>
          <c:idx val="0"/>
          <c:order val="0"/>
          <c:tx>
            <c:strRef>
              <c:f>Sheet2!$K$5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Sheet2!$J$6:$J$7</c:f>
              <c:strCache>
                <c:ptCount val="1"/>
                <c:pt idx="0">
                  <c:v>January</c:v>
                </c:pt>
              </c:strCache>
            </c:strRef>
          </c:cat>
          <c:val>
            <c:numRef>
              <c:f>Sheet2!$K$6:$K$7</c:f>
              <c:numCache>
                <c:formatCode>General</c:formatCode>
                <c:ptCount val="1"/>
                <c:pt idx="0">
                  <c:v>1053000</c:v>
                </c:pt>
              </c:numCache>
            </c:numRef>
          </c:val>
          <c:smooth val="0"/>
          <c:extLst>
            <c:ext xmlns:c16="http://schemas.microsoft.com/office/drawing/2014/chart" uri="{C3380CC4-5D6E-409C-BE32-E72D297353CC}">
              <c16:uniqueId val="{00000000-9725-424C-89B2-21C78D943D74}"/>
            </c:ext>
          </c:extLst>
        </c:ser>
        <c:dLbls>
          <c:showLegendKey val="0"/>
          <c:showVal val="1"/>
          <c:showCatName val="0"/>
          <c:showSerName val="0"/>
          <c:showPercent val="0"/>
          <c:showBubbleSize val="0"/>
        </c:dLbls>
        <c:marker val="1"/>
        <c:smooth val="0"/>
        <c:axId val="868503344"/>
        <c:axId val="868500464"/>
      </c:lineChart>
      <c:catAx>
        <c:axId val="868503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68500464"/>
        <c:crosses val="autoZero"/>
        <c:auto val="1"/>
        <c:lblAlgn val="ctr"/>
        <c:lblOffset val="100"/>
        <c:noMultiLvlLbl val="0"/>
      </c:catAx>
      <c:valAx>
        <c:axId val="868500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SALES</a:t>
                </a:r>
                <a:endParaRPr lang="en-IN"/>
              </a:p>
            </c:rich>
          </c:tx>
          <c:layout>
            <c:manualLayout>
              <c:xMode val="edge"/>
              <c:yMode val="edge"/>
              <c:x val="2.9565511841019236E-2"/>
              <c:y val="0.327343960640044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86850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[EXCEL_REPORT.xlsx]Sheet2!PivotTable1</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PAYMENT MODE</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rich>
      </c:tx>
      <c:layout>
        <c:manualLayout>
          <c:xMode val="edge"/>
          <c:yMode val="edge"/>
          <c:x val="0.35756068817733977"/>
          <c:y val="4.17775384953058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266419863992"/>
          <c:y val="0.21679045721458098"/>
          <c:w val="0.65381537990107819"/>
          <c:h val="0.56366684514039445"/>
        </c:manualLayout>
      </c:layout>
      <c:barChart>
        <c:barDir val="bar"/>
        <c:grouping val="clustered"/>
        <c:varyColors val="0"/>
        <c:ser>
          <c:idx val="0"/>
          <c:order val="0"/>
          <c:tx>
            <c:strRef>
              <c:f>Sheet2!$E$14</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Sheet2!$D$15:$D$18</c:f>
              <c:strCache>
                <c:ptCount val="3"/>
                <c:pt idx="0">
                  <c:v>Card</c:v>
                </c:pt>
                <c:pt idx="1">
                  <c:v>Cash</c:v>
                </c:pt>
                <c:pt idx="2">
                  <c:v>UPI</c:v>
                </c:pt>
              </c:strCache>
            </c:strRef>
          </c:cat>
          <c:val>
            <c:numRef>
              <c:f>Sheet2!$E$15:$E$18</c:f>
              <c:numCache>
                <c:formatCode>General</c:formatCode>
                <c:ptCount val="3"/>
                <c:pt idx="0">
                  <c:v>517000</c:v>
                </c:pt>
                <c:pt idx="1">
                  <c:v>223000</c:v>
                </c:pt>
                <c:pt idx="2">
                  <c:v>313000</c:v>
                </c:pt>
              </c:numCache>
            </c:numRef>
          </c:val>
          <c:extLst>
            <c:ext xmlns:c16="http://schemas.microsoft.com/office/drawing/2014/chart" uri="{C3380CC4-5D6E-409C-BE32-E72D297353CC}">
              <c16:uniqueId val="{00000000-3956-430B-B6F7-B9BEA5AAFC8F}"/>
            </c:ext>
          </c:extLst>
        </c:ser>
        <c:dLbls>
          <c:dLblPos val="outEnd"/>
          <c:showLegendKey val="0"/>
          <c:showVal val="0"/>
          <c:showCatName val="0"/>
          <c:showSerName val="0"/>
          <c:showPercent val="0"/>
          <c:showBubbleSize val="0"/>
        </c:dLbls>
        <c:gapWidth val="115"/>
        <c:overlap val="-20"/>
        <c:axId val="1808279231"/>
        <c:axId val="1808279711"/>
      </c:barChart>
      <c:catAx>
        <c:axId val="180827923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kern="1200" cap="all" baseline="0">
                    <a:solidFill>
                      <a:sysClr val="window" lastClr="FFFFFF">
                        <a:lumMod val="85000"/>
                      </a:sysClr>
                    </a:solidFill>
                    <a:latin typeface="Arial Narrow" panose="020B0606020202030204" pitchFamily="34" charset="0"/>
                  </a:rPr>
                  <a:t>PAYMENT MODE</a:t>
                </a:r>
                <a:endParaRPr lang="en-IN"/>
              </a:p>
            </c:rich>
          </c:tx>
          <c:layout>
            <c:manualLayout>
              <c:xMode val="edge"/>
              <c:yMode val="edge"/>
              <c:x val="0.11087350424440362"/>
              <c:y val="0.3665061573436087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279711"/>
        <c:crosses val="autoZero"/>
        <c:auto val="1"/>
        <c:lblAlgn val="ctr"/>
        <c:lblOffset val="100"/>
        <c:noMultiLvlLbl val="0"/>
      </c:catAx>
      <c:valAx>
        <c:axId val="180827971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layout>
            <c:manualLayout>
              <c:xMode val="edge"/>
              <c:yMode val="edge"/>
              <c:x val="0.53868568627425306"/>
              <c:y val="0.8715831789974457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27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16</xdr:col>
      <xdr:colOff>912835</xdr:colOff>
      <xdr:row>16</xdr:row>
      <xdr:rowOff>25164</xdr:rowOff>
    </xdr:from>
    <xdr:to>
      <xdr:col>20</xdr:col>
      <xdr:colOff>562923</xdr:colOff>
      <xdr:row>23</xdr:row>
      <xdr:rowOff>186069</xdr:rowOff>
    </xdr:to>
    <mc:AlternateContent xmlns:mc="http://schemas.openxmlformats.org/markup-compatibility/2006" xmlns:sle15="http://schemas.microsoft.com/office/drawing/2012/slicer">
      <mc:Choice Requires="sle15">
        <xdr:graphicFrame macro="">
          <xdr:nvGraphicFramePr>
            <xdr:cNvPr id="2" name="Date">
              <a:extLst>
                <a:ext uri="{FF2B5EF4-FFF2-40B4-BE49-F238E27FC236}">
                  <a16:creationId xmlns:a16="http://schemas.microsoft.com/office/drawing/2014/main" id="{3955C7F6-B0A1-24C2-C5B5-2EF8092F046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452844" y="3250373"/>
              <a:ext cx="3187110" cy="152541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923289</xdr:colOff>
      <xdr:row>3</xdr:row>
      <xdr:rowOff>178</xdr:rowOff>
    </xdr:from>
    <xdr:to>
      <xdr:col>20</xdr:col>
      <xdr:colOff>545200</xdr:colOff>
      <xdr:row>6</xdr:row>
      <xdr:rowOff>26582</xdr:rowOff>
    </xdr:to>
    <mc:AlternateContent xmlns:mc="http://schemas.openxmlformats.org/markup-compatibility/2006" xmlns:sle15="http://schemas.microsoft.com/office/drawing/2012/slicer">
      <mc:Choice Requires="sle15">
        <xdr:graphicFrame macro="">
          <xdr:nvGraphicFramePr>
            <xdr:cNvPr id="3" name="Region 2">
              <a:extLst>
                <a:ext uri="{FF2B5EF4-FFF2-40B4-BE49-F238E27FC236}">
                  <a16:creationId xmlns:a16="http://schemas.microsoft.com/office/drawing/2014/main" id="{CE524569-F401-BDCE-7344-8BA0B1E62B0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463298" y="531806"/>
              <a:ext cx="3158933" cy="77068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924885</xdr:colOff>
      <xdr:row>10</xdr:row>
      <xdr:rowOff>108099</xdr:rowOff>
    </xdr:from>
    <xdr:to>
      <xdr:col>20</xdr:col>
      <xdr:colOff>554061</xdr:colOff>
      <xdr:row>16</xdr:row>
      <xdr:rowOff>17722</xdr:rowOff>
    </xdr:to>
    <mc:AlternateContent xmlns:mc="http://schemas.openxmlformats.org/markup-compatibility/2006" xmlns:sle15="http://schemas.microsoft.com/office/drawing/2012/slicer">
      <mc:Choice Requires="sle15">
        <xdr:graphicFrame macro="">
          <xdr:nvGraphicFramePr>
            <xdr:cNvPr id="4" name="Salesperson">
              <a:extLst>
                <a:ext uri="{FF2B5EF4-FFF2-40B4-BE49-F238E27FC236}">
                  <a16:creationId xmlns:a16="http://schemas.microsoft.com/office/drawing/2014/main" id="{423FB725-DC01-3B32-E5E4-06EABFCDBE9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464894" y="2163727"/>
              <a:ext cx="3166198" cy="107920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926482</xdr:colOff>
      <xdr:row>6</xdr:row>
      <xdr:rowOff>38809</xdr:rowOff>
    </xdr:from>
    <xdr:to>
      <xdr:col>20</xdr:col>
      <xdr:colOff>554062</xdr:colOff>
      <xdr:row>10</xdr:row>
      <xdr:rowOff>106326</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F8FC58CE-7FD2-6C1E-751D-EB274D7C05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466491" y="1314716"/>
              <a:ext cx="3200046" cy="847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1</xdr:row>
      <xdr:rowOff>53340</xdr:rowOff>
    </xdr:from>
    <xdr:to>
      <xdr:col>14</xdr:col>
      <xdr:colOff>15240</xdr:colOff>
      <xdr:row>3</xdr:row>
      <xdr:rowOff>30480</xdr:rowOff>
    </xdr:to>
    <xdr:sp macro="" textlink="">
      <xdr:nvSpPr>
        <xdr:cNvPr id="2" name="Rectangle: Rounded Corners 1">
          <a:extLst>
            <a:ext uri="{FF2B5EF4-FFF2-40B4-BE49-F238E27FC236}">
              <a16:creationId xmlns:a16="http://schemas.microsoft.com/office/drawing/2014/main" id="{BBE7CA45-F317-DF51-5BB1-5966F38821FE}"/>
            </a:ext>
          </a:extLst>
        </xdr:cNvPr>
        <xdr:cNvSpPr/>
      </xdr:nvSpPr>
      <xdr:spPr>
        <a:xfrm>
          <a:off x="2034540" y="228600"/>
          <a:ext cx="9014460" cy="327660"/>
        </a:xfrm>
        <a:prstGeom prst="roundRect">
          <a:avLst>
            <a:gd name="adj" fmla="val 0"/>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b="1" cap="none" spc="0">
              <a:ln w="9525">
                <a:solidFill>
                  <a:schemeClr val="bg1"/>
                </a:solidFill>
                <a:prstDash val="solid"/>
              </a:ln>
              <a:solidFill>
                <a:srgbClr val="FF0000"/>
              </a:solidFill>
              <a:effectLst>
                <a:innerShdw blurRad="63500" dist="50800" dir="10800000">
                  <a:prstClr val="black">
                    <a:alpha val="50000"/>
                  </a:prstClr>
                </a:innerShdw>
              </a:effectLst>
            </a:rPr>
            <a:t>PIVOT TABLE</a:t>
          </a: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581972</xdr:rowOff>
    </xdr:from>
    <xdr:to>
      <xdr:col>3</xdr:col>
      <xdr:colOff>516467</xdr:colOff>
      <xdr:row>0</xdr:row>
      <xdr:rowOff>1384077</xdr:rowOff>
    </xdr:to>
    <xdr:sp macro="" textlink="">
      <xdr:nvSpPr>
        <xdr:cNvPr id="10" name="Rectangle 9">
          <a:extLst>
            <a:ext uri="{FF2B5EF4-FFF2-40B4-BE49-F238E27FC236}">
              <a16:creationId xmlns:a16="http://schemas.microsoft.com/office/drawing/2014/main" id="{1B6FE558-509C-F1DE-3E54-E2BE5FAB84DB}"/>
            </a:ext>
          </a:extLst>
        </xdr:cNvPr>
        <xdr:cNvSpPr/>
      </xdr:nvSpPr>
      <xdr:spPr>
        <a:xfrm>
          <a:off x="0" y="581972"/>
          <a:ext cx="2887134" cy="802105"/>
        </a:xfrm>
        <a:prstGeom prst="rect">
          <a:avLst/>
        </a:prstGeom>
        <a:ln/>
        <a:effectLst>
          <a:glow rad="228600">
            <a:schemeClr val="accent5">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600" b="1">
              <a:solidFill>
                <a:schemeClr val="tx1"/>
              </a:solidFill>
              <a:latin typeface="Arial Narrow" panose="020B0606020202030204" pitchFamily="34" charset="0"/>
            </a:rPr>
            <a:t>TOTAL</a:t>
          </a:r>
          <a:r>
            <a:rPr lang="en-IN" sz="1600" b="1" baseline="0">
              <a:solidFill>
                <a:schemeClr val="tx1"/>
              </a:solidFill>
              <a:latin typeface="Arial Narrow" panose="020B0606020202030204" pitchFamily="34" charset="0"/>
            </a:rPr>
            <a:t> SALES </a:t>
          </a:r>
        </a:p>
        <a:p>
          <a:pPr algn="ctr"/>
          <a:r>
            <a:rPr lang="en-IN" sz="1600" b="1" u="sng" cap="none" spc="0" baseline="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rPr>
            <a:t> </a:t>
          </a:r>
          <a:r>
            <a:rPr lang="en-IN" sz="1600" b="1" u="sng" cap="none" spc="0" baseline="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Calibri" panose="020F0502020204030204" pitchFamily="34" charset="0"/>
              <a:ea typeface="Calibri" panose="020F0502020204030204" pitchFamily="34" charset="0"/>
              <a:cs typeface="Calibri" panose="020F0502020204030204" pitchFamily="34" charset="0"/>
            </a:rPr>
            <a:t>₹</a:t>
          </a:r>
          <a:r>
            <a:rPr lang="en-IN" sz="1600" b="1" u="sng" cap="none" spc="0" baseline="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rPr>
            <a:t>1053000</a:t>
          </a:r>
          <a:endParaRPr lang="en-IN" sz="1600" b="1" u="sng" cap="none" spc="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endParaRPr>
        </a:p>
      </xdr:txBody>
    </xdr:sp>
    <xdr:clientData/>
  </xdr:twoCellAnchor>
  <xdr:twoCellAnchor>
    <xdr:from>
      <xdr:col>8</xdr:col>
      <xdr:colOff>73743</xdr:colOff>
      <xdr:row>0</xdr:row>
      <xdr:rowOff>575733</xdr:rowOff>
    </xdr:from>
    <xdr:to>
      <xdr:col>12</xdr:col>
      <xdr:colOff>135913</xdr:colOff>
      <xdr:row>0</xdr:row>
      <xdr:rowOff>1368322</xdr:rowOff>
    </xdr:to>
    <xdr:sp macro="" textlink="">
      <xdr:nvSpPr>
        <xdr:cNvPr id="14" name="Rectangle 13">
          <a:extLst>
            <a:ext uri="{FF2B5EF4-FFF2-40B4-BE49-F238E27FC236}">
              <a16:creationId xmlns:a16="http://schemas.microsoft.com/office/drawing/2014/main" id="{1D43AD95-46CC-4489-A9EF-E880EC2C63DC}"/>
            </a:ext>
          </a:extLst>
        </xdr:cNvPr>
        <xdr:cNvSpPr/>
      </xdr:nvSpPr>
      <xdr:spPr>
        <a:xfrm>
          <a:off x="5989485" y="575733"/>
          <a:ext cx="3503460" cy="792589"/>
        </a:xfrm>
        <a:prstGeom prst="rect">
          <a:avLst/>
        </a:prstGeom>
        <a:ln/>
        <a:effectLst>
          <a:glow rad="139700">
            <a:schemeClr val="accent5">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600" b="1">
              <a:solidFill>
                <a:schemeClr val="tx1"/>
              </a:solidFill>
              <a:latin typeface="Arial Narrow" panose="020B0606020202030204" pitchFamily="34" charset="0"/>
            </a:rPr>
            <a:t>TOTAL</a:t>
          </a:r>
          <a:r>
            <a:rPr lang="en-IN" sz="1600" b="1" baseline="0">
              <a:solidFill>
                <a:schemeClr val="tx1"/>
              </a:solidFill>
              <a:latin typeface="Arial Narrow" panose="020B0606020202030204" pitchFamily="34" charset="0"/>
            </a:rPr>
            <a:t> ORDERS</a:t>
          </a:r>
        </a:p>
        <a:p>
          <a:pPr algn="ctr"/>
          <a:r>
            <a:rPr lang="en-IN" sz="1600" b="1" u="sng" cap="none" spc="0" baseline="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rPr>
            <a:t> 20</a:t>
          </a:r>
          <a:endParaRPr lang="en-IN" sz="1600" b="1" u="sng" cap="none" spc="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endParaRPr>
        </a:p>
      </xdr:txBody>
    </xdr:sp>
    <xdr:clientData/>
  </xdr:twoCellAnchor>
  <xdr:twoCellAnchor>
    <xdr:from>
      <xdr:col>0</xdr:col>
      <xdr:colOff>16387</xdr:colOff>
      <xdr:row>0</xdr:row>
      <xdr:rowOff>1</xdr:rowOff>
    </xdr:from>
    <xdr:to>
      <xdr:col>16</xdr:col>
      <xdr:colOff>299663</xdr:colOff>
      <xdr:row>0</xdr:row>
      <xdr:rowOff>521369</xdr:rowOff>
    </xdr:to>
    <xdr:sp macro="" textlink="">
      <xdr:nvSpPr>
        <xdr:cNvPr id="17" name="Rectangle 16">
          <a:extLst>
            <a:ext uri="{FF2B5EF4-FFF2-40B4-BE49-F238E27FC236}">
              <a16:creationId xmlns:a16="http://schemas.microsoft.com/office/drawing/2014/main" id="{CCD4D8B2-E532-660A-55FC-CBDF1737D157}"/>
            </a:ext>
          </a:extLst>
        </xdr:cNvPr>
        <xdr:cNvSpPr/>
      </xdr:nvSpPr>
      <xdr:spPr>
        <a:xfrm>
          <a:off x="16387" y="1"/>
          <a:ext cx="13408512" cy="52136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800" b="1" cap="none" spc="0">
              <a:ln/>
              <a:solidFill>
                <a:schemeClr val="accent3"/>
              </a:solidFill>
              <a:effectLst/>
              <a:latin typeface="Arial Black" panose="020B0A04020102020204" pitchFamily="34" charset="0"/>
            </a:rPr>
            <a:t>SALES DASHBOARD</a:t>
          </a:r>
        </a:p>
      </xdr:txBody>
    </xdr:sp>
    <xdr:clientData/>
  </xdr:twoCellAnchor>
  <xdr:twoCellAnchor>
    <xdr:from>
      <xdr:col>3</xdr:col>
      <xdr:colOff>548969</xdr:colOff>
      <xdr:row>0</xdr:row>
      <xdr:rowOff>575732</xdr:rowOff>
    </xdr:from>
    <xdr:to>
      <xdr:col>8</xdr:col>
      <xdr:colOff>57355</xdr:colOff>
      <xdr:row>0</xdr:row>
      <xdr:rowOff>1388087</xdr:rowOff>
    </xdr:to>
    <xdr:sp macro="" textlink="">
      <xdr:nvSpPr>
        <xdr:cNvPr id="4" name="Rectangle: Rounded Corners 3">
          <a:extLst>
            <a:ext uri="{FF2B5EF4-FFF2-40B4-BE49-F238E27FC236}">
              <a16:creationId xmlns:a16="http://schemas.microsoft.com/office/drawing/2014/main" id="{DFE8B204-5EA0-7924-7E35-D6B0151FE28D}"/>
            </a:ext>
          </a:extLst>
        </xdr:cNvPr>
        <xdr:cNvSpPr/>
      </xdr:nvSpPr>
      <xdr:spPr>
        <a:xfrm>
          <a:off x="2703872" y="575732"/>
          <a:ext cx="3269225" cy="812355"/>
        </a:xfrm>
        <a:prstGeom prst="roundRect">
          <a:avLst/>
        </a:prstGeom>
        <a:ln/>
        <a:effectLst>
          <a:glow rad="139700">
            <a:schemeClr val="accent2">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600" b="0"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TOTAL</a:t>
          </a:r>
          <a:r>
            <a:rPr lang="en-IN" sz="1600" b="0"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PROFIT</a:t>
          </a:r>
        </a:p>
        <a:p>
          <a:pPr algn="ctr"/>
          <a:r>
            <a:rPr lang="en-IN" sz="1600" b="1" u="sng" cap="none" spc="0" baseline="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ea typeface="Calibri" panose="020F0502020204030204" pitchFamily="34" charset="0"/>
              <a:cs typeface="Calibri" panose="020F0502020204030204" pitchFamily="34" charset="0"/>
            </a:rPr>
            <a:t>₹182700</a:t>
          </a:r>
          <a:endParaRPr lang="en-IN" sz="1600" b="1" u="sng" cap="none" spc="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endParaRPr>
        </a:p>
      </xdr:txBody>
    </xdr:sp>
    <xdr:clientData/>
  </xdr:twoCellAnchor>
  <xdr:twoCellAnchor>
    <xdr:from>
      <xdr:col>12</xdr:col>
      <xdr:colOff>163871</xdr:colOff>
      <xdr:row>0</xdr:row>
      <xdr:rowOff>575733</xdr:rowOff>
    </xdr:from>
    <xdr:to>
      <xdr:col>16</xdr:col>
      <xdr:colOff>278581</xdr:colOff>
      <xdr:row>0</xdr:row>
      <xdr:rowOff>1360128</xdr:rowOff>
    </xdr:to>
    <xdr:sp macro="" textlink="">
      <xdr:nvSpPr>
        <xdr:cNvPr id="6" name="Rectangle: Rounded Corners 5">
          <a:extLst>
            <a:ext uri="{FF2B5EF4-FFF2-40B4-BE49-F238E27FC236}">
              <a16:creationId xmlns:a16="http://schemas.microsoft.com/office/drawing/2014/main" id="{AC58810F-94A1-7E27-032D-5DB88CCB0B83}"/>
            </a:ext>
          </a:extLst>
        </xdr:cNvPr>
        <xdr:cNvSpPr/>
      </xdr:nvSpPr>
      <xdr:spPr>
        <a:xfrm>
          <a:off x="9520903" y="575733"/>
          <a:ext cx="2679291" cy="784395"/>
        </a:xfrm>
        <a:prstGeom prst="roundRect">
          <a:avLst/>
        </a:prstGeom>
        <a:ln/>
        <a:effectLst>
          <a:glow rad="228600">
            <a:schemeClr val="accent4">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600" b="0">
              <a:solidFill>
                <a:schemeClr val="tx1"/>
              </a:solidFill>
              <a:latin typeface="Arial Narrow" panose="020B0606020202030204" pitchFamily="34" charset="0"/>
            </a:rPr>
            <a:t>UNIT SOLD</a:t>
          </a:r>
        </a:p>
        <a:p>
          <a:pPr algn="ctr"/>
          <a:r>
            <a:rPr lang="en-IN" sz="1600" b="1" u="sng" cap="none" spc="0">
              <a:ln w="9525">
                <a:solidFill>
                  <a:sysClr val="windowText" lastClr="000000"/>
                </a:solidFill>
                <a:prstDash val="solid"/>
              </a:ln>
              <a:solidFill>
                <a:schemeClr val="tx1"/>
              </a:solidFill>
              <a:effectLst>
                <a:outerShdw blurRad="12700" dist="38100" dir="2700000" algn="tl" rotWithShape="0">
                  <a:schemeClr val="bg1">
                    <a:lumMod val="50000"/>
                  </a:schemeClr>
                </a:outerShdw>
              </a:effectLst>
              <a:latin typeface="Arial Narrow" panose="020B0606020202030204" pitchFamily="34" charset="0"/>
            </a:rPr>
            <a:t>88</a:t>
          </a:r>
        </a:p>
      </xdr:txBody>
    </xdr:sp>
    <xdr:clientData/>
  </xdr:twoCellAnchor>
  <xdr:twoCellAnchor>
    <xdr:from>
      <xdr:col>0</xdr:col>
      <xdr:colOff>0</xdr:colOff>
      <xdr:row>0</xdr:row>
      <xdr:rowOff>1417484</xdr:rowOff>
    </xdr:from>
    <xdr:to>
      <xdr:col>5</xdr:col>
      <xdr:colOff>180259</xdr:colOff>
      <xdr:row>11</xdr:row>
      <xdr:rowOff>40967</xdr:rowOff>
    </xdr:to>
    <xdr:graphicFrame macro="">
      <xdr:nvGraphicFramePr>
        <xdr:cNvPr id="26" name="Chart 25">
          <a:extLst>
            <a:ext uri="{FF2B5EF4-FFF2-40B4-BE49-F238E27FC236}">
              <a16:creationId xmlns:a16="http://schemas.microsoft.com/office/drawing/2014/main" id="{4BECC634-870D-4466-B6AF-D4B4EFE36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327741</xdr:colOff>
      <xdr:row>0</xdr:row>
      <xdr:rowOff>8562</xdr:rowOff>
    </xdr:from>
    <xdr:to>
      <xdr:col>18</xdr:col>
      <xdr:colOff>819353</xdr:colOff>
      <xdr:row>0</xdr:row>
      <xdr:rowOff>958645</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0C8B3C19-6F70-4EF4-B35C-63BFB17113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49354" y="81935"/>
              <a:ext cx="2441677" cy="876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204840</xdr:colOff>
      <xdr:row>0</xdr:row>
      <xdr:rowOff>1409290</xdr:rowOff>
    </xdr:from>
    <xdr:to>
      <xdr:col>10</xdr:col>
      <xdr:colOff>802968</xdr:colOff>
      <xdr:row>10</xdr:row>
      <xdr:rowOff>180257</xdr:rowOff>
    </xdr:to>
    <xdr:graphicFrame macro="">
      <xdr:nvGraphicFramePr>
        <xdr:cNvPr id="28" name="Chart 27">
          <a:extLst>
            <a:ext uri="{FF2B5EF4-FFF2-40B4-BE49-F238E27FC236}">
              <a16:creationId xmlns:a16="http://schemas.microsoft.com/office/drawing/2014/main" id="{398E8AAB-636F-4893-8432-4A2525783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335933</xdr:colOff>
      <xdr:row>0</xdr:row>
      <xdr:rowOff>967483</xdr:rowOff>
    </xdr:from>
    <xdr:to>
      <xdr:col>18</xdr:col>
      <xdr:colOff>813371</xdr:colOff>
      <xdr:row>2</xdr:row>
      <xdr:rowOff>90128</xdr:rowOff>
    </xdr:to>
    <mc:AlternateContent xmlns:mc="http://schemas.openxmlformats.org/markup-compatibility/2006" xmlns:a14="http://schemas.microsoft.com/office/drawing/2010/main">
      <mc:Choice Requires="a14">
        <xdr:graphicFrame macro="">
          <xdr:nvGraphicFramePr>
            <xdr:cNvPr id="29" name="Category 2">
              <a:extLst>
                <a:ext uri="{FF2B5EF4-FFF2-40B4-BE49-F238E27FC236}">
                  <a16:creationId xmlns:a16="http://schemas.microsoft.com/office/drawing/2014/main" id="{F7FB4F0A-CB4A-422E-BDBC-7E18E81A637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257546" y="999614"/>
              <a:ext cx="2408905" cy="78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49161</xdr:rowOff>
    </xdr:from>
    <xdr:to>
      <xdr:col>5</xdr:col>
      <xdr:colOff>172065</xdr:colOff>
      <xdr:row>22</xdr:row>
      <xdr:rowOff>68494</xdr:rowOff>
    </xdr:to>
    <xdr:graphicFrame macro="">
      <xdr:nvGraphicFramePr>
        <xdr:cNvPr id="30" name="Chart 29">
          <a:extLst>
            <a:ext uri="{FF2B5EF4-FFF2-40B4-BE49-F238E27FC236}">
              <a16:creationId xmlns:a16="http://schemas.microsoft.com/office/drawing/2014/main" id="{F7A99698-57D9-4966-A9EF-21928B979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352322</xdr:colOff>
      <xdr:row>2</xdr:row>
      <xdr:rowOff>111303</xdr:rowOff>
    </xdr:from>
    <xdr:to>
      <xdr:col>18</xdr:col>
      <xdr:colOff>804809</xdr:colOff>
      <xdr:row>8</xdr:row>
      <xdr:rowOff>40968</xdr:rowOff>
    </xdr:to>
    <mc:AlternateContent xmlns:mc="http://schemas.openxmlformats.org/markup-compatibility/2006" xmlns:a14="http://schemas.microsoft.com/office/drawing/2010/main">
      <mc:Choice Requires="a14">
        <xdr:graphicFrame macro="">
          <xdr:nvGraphicFramePr>
            <xdr:cNvPr id="31" name="Salesperson 3">
              <a:extLst>
                <a:ext uri="{FF2B5EF4-FFF2-40B4-BE49-F238E27FC236}">
                  <a16:creationId xmlns:a16="http://schemas.microsoft.com/office/drawing/2014/main" id="{108680EF-3E33-4FE4-B49A-9B817EDFFA3A}"/>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12273935" y="1859935"/>
              <a:ext cx="2367936" cy="917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819356</xdr:colOff>
      <xdr:row>11</xdr:row>
      <xdr:rowOff>0</xdr:rowOff>
    </xdr:from>
    <xdr:to>
      <xdr:col>16</xdr:col>
      <xdr:colOff>327742</xdr:colOff>
      <xdr:row>22</xdr:row>
      <xdr:rowOff>94180</xdr:rowOff>
    </xdr:to>
    <xdr:graphicFrame macro="">
      <xdr:nvGraphicFramePr>
        <xdr:cNvPr id="2" name="Chart 1">
          <a:extLst>
            <a:ext uri="{FF2B5EF4-FFF2-40B4-BE49-F238E27FC236}">
              <a16:creationId xmlns:a16="http://schemas.microsoft.com/office/drawing/2014/main" id="{5EE9D8E2-53F1-4BA6-A0C2-9DEB0D0A3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360516</xdr:colOff>
      <xdr:row>12</xdr:row>
      <xdr:rowOff>81936</xdr:rowOff>
    </xdr:from>
    <xdr:to>
      <xdr:col>18</xdr:col>
      <xdr:colOff>811161</xdr:colOff>
      <xdr:row>22</xdr:row>
      <xdr:rowOff>102743</xdr:rowOff>
    </xdr:to>
    <mc:AlternateContent xmlns:mc="http://schemas.openxmlformats.org/markup-compatibility/2006" xmlns:a14="http://schemas.microsoft.com/office/drawing/2010/main">
      <mc:Choice Requires="a14">
        <xdr:graphicFrame macro="">
          <xdr:nvGraphicFramePr>
            <xdr:cNvPr id="12" name="Date 3">
              <a:extLst>
                <a:ext uri="{FF2B5EF4-FFF2-40B4-BE49-F238E27FC236}">
                  <a16:creationId xmlns:a16="http://schemas.microsoft.com/office/drawing/2014/main" id="{7C6C09D7-C13F-4F69-9B5B-767F6962847A}"/>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12282129" y="3588774"/>
              <a:ext cx="2400710" cy="1761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819354</xdr:colOff>
      <xdr:row>0</xdr:row>
      <xdr:rowOff>1409289</xdr:rowOff>
    </xdr:from>
    <xdr:to>
      <xdr:col>16</xdr:col>
      <xdr:colOff>308225</xdr:colOff>
      <xdr:row>10</xdr:row>
      <xdr:rowOff>152400</xdr:rowOff>
    </xdr:to>
    <xdr:graphicFrame macro="">
      <xdr:nvGraphicFramePr>
        <xdr:cNvPr id="15" name="Chart 14">
          <a:extLst>
            <a:ext uri="{FF2B5EF4-FFF2-40B4-BE49-F238E27FC236}">
              <a16:creationId xmlns:a16="http://schemas.microsoft.com/office/drawing/2014/main" id="{0719774F-6574-40D6-AA3B-783AEB46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342472</xdr:colOff>
      <xdr:row>8</xdr:row>
      <xdr:rowOff>59933</xdr:rowOff>
    </xdr:from>
    <xdr:to>
      <xdr:col>18</xdr:col>
      <xdr:colOff>796247</xdr:colOff>
      <xdr:row>12</xdr:row>
      <xdr:rowOff>51370</xdr:rowOff>
    </xdr:to>
    <mc:AlternateContent xmlns:mc="http://schemas.openxmlformats.org/markup-compatibility/2006">
      <mc:Choice xmlns:a14="http://schemas.microsoft.com/office/drawing/2010/main" Requires="a14">
        <xdr:graphicFrame macro="">
          <xdr:nvGraphicFramePr>
            <xdr:cNvPr id="3" name="Payment Mode 2">
              <a:extLst>
                <a:ext uri="{FF2B5EF4-FFF2-40B4-BE49-F238E27FC236}">
                  <a16:creationId xmlns:a16="http://schemas.microsoft.com/office/drawing/2014/main" id="{74864A9C-EBCA-43DA-94A3-962ADB94A0D6}"/>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dr:sp macro="" textlink="">
          <xdr:nvSpPr>
            <xdr:cNvPr id="0" name=""/>
            <xdr:cNvSpPr>
              <a:spLocks noTextEdit="1"/>
            </xdr:cNvSpPr>
          </xdr:nvSpPr>
          <xdr:spPr>
            <a:xfrm>
              <a:off x="13296472" y="2828533"/>
              <a:ext cx="2401108" cy="702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194733</xdr:colOff>
      <xdr:row>11</xdr:row>
      <xdr:rowOff>8466</xdr:rowOff>
    </xdr:from>
    <xdr:to>
      <xdr:col>10</xdr:col>
      <xdr:colOff>795866</xdr:colOff>
      <xdr:row>22</xdr:row>
      <xdr:rowOff>84667</xdr:rowOff>
    </xdr:to>
    <xdr:graphicFrame macro="">
      <xdr:nvGraphicFramePr>
        <xdr:cNvPr id="5" name="Chart 4">
          <a:extLst>
            <a:ext uri="{FF2B5EF4-FFF2-40B4-BE49-F238E27FC236}">
              <a16:creationId xmlns:a16="http://schemas.microsoft.com/office/drawing/2014/main" id="{B7D5D43F-452E-4724-B38F-C4B9FA0B4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Shaikh" refreshedDate="46231.089993402777" createdVersion="8" refreshedVersion="8" minRefreshableVersion="3" recordCount="20" xr:uid="{56DBE98D-3B30-4052-8289-93CCE9C38421}">
  <cacheSource type="worksheet">
    <worksheetSource name="Table1"/>
  </cacheSource>
  <cacheFields count="13">
    <cacheField name="Order ID" numFmtId="0">
      <sharedItems/>
    </cacheField>
    <cacheField name="month" numFmtId="0">
      <sharedItems/>
    </cacheField>
    <cacheField name="Date" numFmtId="15">
      <sharedItems containsSemiMixedTypes="0" containsNonDate="0" containsDate="1" containsString="0" minDate="2026-01-01T00:00:00" maxDate="2026-01-21T00:00:00" count="2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sharedItems>
    </cacheField>
    <cacheField name="Region" numFmtId="0">
      <sharedItems count="4">
        <s v="North"/>
        <s v="South"/>
        <s v="West"/>
        <s v="East"/>
      </sharedItems>
    </cacheField>
    <cacheField name="Salesperson" numFmtId="0">
      <sharedItems count="5">
        <s v="Amit"/>
        <s v="Priya"/>
        <s v="Rahul"/>
        <s v="Sneha"/>
        <s v="Neha"/>
      </sharedItems>
    </cacheField>
    <cacheField name="Category" numFmtId="0">
      <sharedItems count="4">
        <s v="Laptop"/>
        <s v="Mobile"/>
        <s v="Accessories"/>
        <s v="Printer"/>
      </sharedItems>
    </cacheField>
    <cacheField name="Product" numFmtId="0">
      <sharedItems/>
    </cacheField>
    <cacheField name="Units" numFmtId="0">
      <sharedItems containsSemiMixedTypes="0" containsString="0" containsNumber="1" containsInteger="1" minValue="1" maxValue="20"/>
    </cacheField>
    <cacheField name="Unit Price" numFmtId="0">
      <sharedItems containsSemiMixedTypes="0" containsString="0" containsNumber="1" containsInteger="1" minValue="700" maxValue="60000"/>
    </cacheField>
    <cacheField name="Sales" numFmtId="0">
      <sharedItems containsSemiMixedTypes="0" containsString="0" containsNumber="1" containsInteger="1" minValue="7000" maxValue="112000"/>
    </cacheField>
    <cacheField name="Profit" numFmtId="0">
      <sharedItems containsSemiMixedTypes="0" containsString="0" containsNumber="1" containsInteger="1" minValue="2000" maxValue="21000"/>
    </cacheField>
    <cacheField name="Customer Type" numFmtId="0">
      <sharedItems/>
    </cacheField>
    <cacheField name="Payment Mode" numFmtId="0">
      <sharedItems count="3">
        <s v="UPI"/>
        <s v="Card"/>
        <s v="Cash"/>
      </sharedItems>
    </cacheField>
  </cacheFields>
  <extLst>
    <ext xmlns:x14="http://schemas.microsoft.com/office/spreadsheetml/2009/9/main" uri="{725AE2AE-9491-48be-B2B4-4EB974FC3084}">
      <x14:pivotCacheDefinition pivotCacheId="1000578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Shaikh" refreshedDate="46231.927203587962" createdVersion="8" refreshedVersion="8" minRefreshableVersion="3" recordCount="20" xr:uid="{0F07AE37-9020-493C-ABB3-2C0E204CBFF5}">
  <cacheSource type="worksheet">
    <worksheetSource ref="E4:Q24" sheet="Sheet1"/>
  </cacheSource>
  <cacheFields count="13">
    <cacheField name="Order ID" numFmtId="0">
      <sharedItems/>
    </cacheField>
    <cacheField name="month" numFmtId="0">
      <sharedItems count="1">
        <s v="January"/>
      </sharedItems>
    </cacheField>
    <cacheField name="Date" numFmtId="15">
      <sharedItems containsSemiMixedTypes="0" containsNonDate="0" containsDate="1" containsString="0" minDate="2026-01-01T00:00:00" maxDate="2026-01-21T00:00:00" count="2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sharedItems>
    </cacheField>
    <cacheField name="Region" numFmtId="0">
      <sharedItems count="5">
        <s v="North"/>
        <s v="South"/>
        <s v="West"/>
        <s v="East"/>
        <s v="Formula1" f="1"/>
      </sharedItems>
    </cacheField>
    <cacheField name="Salesperson" numFmtId="0">
      <sharedItems count="5">
        <s v="Amit"/>
        <s v="Priya"/>
        <s v="Rahul"/>
        <s v="Sneha"/>
        <s v="Neha"/>
      </sharedItems>
    </cacheField>
    <cacheField name="Category" numFmtId="0">
      <sharedItems/>
    </cacheField>
    <cacheField name="Product" numFmtId="0">
      <sharedItems/>
    </cacheField>
    <cacheField name="Units" numFmtId="0">
      <sharedItems containsSemiMixedTypes="0" containsString="0" containsNumber="1" containsInteger="1" minValue="1" maxValue="20"/>
    </cacheField>
    <cacheField name="Unit Price" numFmtId="0">
      <sharedItems containsSemiMixedTypes="0" containsString="0" containsNumber="1" containsInteger="1" minValue="700" maxValue="60000"/>
    </cacheField>
    <cacheField name="Sales" numFmtId="0">
      <sharedItems containsSemiMixedTypes="0" containsString="0" containsNumber="1" containsInteger="1" minValue="7000" maxValue="112000"/>
    </cacheField>
    <cacheField name="Profit" numFmtId="0">
      <sharedItems containsSemiMixedTypes="0" containsString="0" containsNumber="1" containsInteger="1" minValue="2000" maxValue="21000"/>
    </cacheField>
    <cacheField name="Customer Type" numFmtId="0">
      <sharedItems count="3">
        <s v="New"/>
        <s v="Existing"/>
        <s v="UPI" u="1"/>
      </sharedItems>
    </cacheField>
    <cacheField name="Payment Mode" numFmtId="0">
      <sharedItems count="4">
        <s v="UPI"/>
        <s v="Card"/>
        <s v="Cash"/>
        <s v="Existing" u="1"/>
      </sharedItems>
    </cacheField>
  </cacheFields>
  <calculatedItems count="1">
    <calculatedItem>
      <pivotArea cacheIndex="1" outline="0" fieldPosition="0">
        <references count="1">
          <reference field="3" count="1">
            <x v="4"/>
          </reference>
        </references>
      </pivotArea>
    </calculatedItem>
  </calculatedItems>
  <extLst>
    <ext xmlns:x14="http://schemas.microsoft.com/office/spreadsheetml/2009/9/main" uri="{725AE2AE-9491-48be-B2B4-4EB974FC3084}">
      <x14:pivotCacheDefinition pivotCacheId="392229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001"/>
    <s v="January"/>
    <x v="0"/>
    <x v="0"/>
    <x v="0"/>
    <x v="0"/>
    <s v="Dell"/>
    <n v="2"/>
    <n v="55000"/>
    <n v="110000"/>
    <n v="18000"/>
    <s v="New"/>
    <x v="0"/>
  </r>
  <r>
    <s v="O002"/>
    <s v="January"/>
    <x v="1"/>
    <x v="1"/>
    <x v="1"/>
    <x v="1"/>
    <s v="Samsung"/>
    <n v="3"/>
    <n v="22000"/>
    <n v="66000"/>
    <n v="9000"/>
    <s v="Existing"/>
    <x v="1"/>
  </r>
  <r>
    <s v="O003"/>
    <s v="January"/>
    <x v="2"/>
    <x v="2"/>
    <x v="2"/>
    <x v="2"/>
    <s v="Mouse"/>
    <n v="10"/>
    <n v="700"/>
    <n v="7000"/>
    <n v="2000"/>
    <s v="New"/>
    <x v="2"/>
  </r>
  <r>
    <s v="O004"/>
    <s v="January"/>
    <x v="3"/>
    <x v="3"/>
    <x v="3"/>
    <x v="0"/>
    <s v="HP"/>
    <n v="1"/>
    <n v="60000"/>
    <n v="60000"/>
    <n v="12000"/>
    <s v="Existing"/>
    <x v="1"/>
  </r>
  <r>
    <s v="O005"/>
    <s v="January"/>
    <x v="4"/>
    <x v="0"/>
    <x v="4"/>
    <x v="3"/>
    <s v="Canon"/>
    <n v="2"/>
    <n v="15000"/>
    <n v="30000"/>
    <n v="5000"/>
    <s v="New"/>
    <x v="0"/>
  </r>
  <r>
    <s v="O006"/>
    <s v="January"/>
    <x v="5"/>
    <x v="1"/>
    <x v="0"/>
    <x v="1"/>
    <s v="Vivo"/>
    <n v="5"/>
    <n v="18000"/>
    <n v="90000"/>
    <n v="14000"/>
    <s v="Existing"/>
    <x v="2"/>
  </r>
  <r>
    <s v="O007"/>
    <s v="January"/>
    <x v="6"/>
    <x v="2"/>
    <x v="1"/>
    <x v="0"/>
    <s v="Lenovo"/>
    <n v="1"/>
    <n v="52000"/>
    <n v="52000"/>
    <n v="10000"/>
    <s v="Existing"/>
    <x v="1"/>
  </r>
  <r>
    <s v="O008"/>
    <s v="January"/>
    <x v="7"/>
    <x v="3"/>
    <x v="2"/>
    <x v="2"/>
    <s v="Keyboard"/>
    <n v="8"/>
    <n v="1200"/>
    <n v="9600"/>
    <n v="2400"/>
    <s v="New"/>
    <x v="0"/>
  </r>
  <r>
    <s v="O009"/>
    <s v="January"/>
    <x v="8"/>
    <x v="0"/>
    <x v="3"/>
    <x v="3"/>
    <s v="Epson"/>
    <n v="2"/>
    <n v="17000"/>
    <n v="34000"/>
    <n v="4500"/>
    <s v="Existing"/>
    <x v="2"/>
  </r>
  <r>
    <s v="O010"/>
    <s v="January"/>
    <x v="9"/>
    <x v="1"/>
    <x v="4"/>
    <x v="1"/>
    <s v="Oppo"/>
    <n v="4"/>
    <n v="21000"/>
    <n v="84000"/>
    <n v="13000"/>
    <s v="New"/>
    <x v="1"/>
  </r>
  <r>
    <s v="O011"/>
    <s v="January"/>
    <x v="10"/>
    <x v="2"/>
    <x v="0"/>
    <x v="0"/>
    <s v="Acer"/>
    <n v="2"/>
    <n v="50000"/>
    <n v="100000"/>
    <n v="17000"/>
    <s v="Existing"/>
    <x v="0"/>
  </r>
  <r>
    <s v="O012"/>
    <s v="January"/>
    <x v="11"/>
    <x v="3"/>
    <x v="1"/>
    <x v="2"/>
    <s v="Webcam"/>
    <n v="6"/>
    <n v="2500"/>
    <n v="15000"/>
    <n v="4000"/>
    <s v="New"/>
    <x v="2"/>
  </r>
  <r>
    <s v="O013"/>
    <s v="January"/>
    <x v="12"/>
    <x v="0"/>
    <x v="2"/>
    <x v="1"/>
    <s v="Redmi"/>
    <n v="5"/>
    <n v="15000"/>
    <n v="75000"/>
    <n v="11000"/>
    <s v="Existing"/>
    <x v="1"/>
  </r>
  <r>
    <s v="O014"/>
    <s v="January"/>
    <x v="13"/>
    <x v="1"/>
    <x v="3"/>
    <x v="3"/>
    <s v="Brother"/>
    <n v="2"/>
    <n v="16000"/>
    <n v="32000"/>
    <n v="6000"/>
    <s v="Existing"/>
    <x v="0"/>
  </r>
  <r>
    <s v="O015"/>
    <s v="January"/>
    <x v="14"/>
    <x v="2"/>
    <x v="4"/>
    <x v="0"/>
    <s v="Asus"/>
    <n v="1"/>
    <n v="58000"/>
    <n v="58000"/>
    <n v="12000"/>
    <s v="New"/>
    <x v="2"/>
  </r>
  <r>
    <s v="O016"/>
    <s v="January"/>
    <x v="15"/>
    <x v="3"/>
    <x v="0"/>
    <x v="2"/>
    <s v="Pendrive"/>
    <n v="20"/>
    <n v="800"/>
    <n v="16000"/>
    <n v="5000"/>
    <s v="Existing"/>
    <x v="0"/>
  </r>
  <r>
    <s v="O017"/>
    <s v="January"/>
    <x v="16"/>
    <x v="0"/>
    <x v="1"/>
    <x v="1"/>
    <s v="Realme"/>
    <n v="4"/>
    <n v="17000"/>
    <n v="68000"/>
    <n v="9500"/>
    <s v="New"/>
    <x v="1"/>
  </r>
  <r>
    <s v="O018"/>
    <s v="January"/>
    <x v="17"/>
    <x v="1"/>
    <x v="2"/>
    <x v="3"/>
    <s v="HP"/>
    <n v="1"/>
    <n v="19000"/>
    <n v="19000"/>
    <n v="3500"/>
    <s v="Existing"/>
    <x v="2"/>
  </r>
  <r>
    <s v="O019"/>
    <s v="January"/>
    <x v="18"/>
    <x v="2"/>
    <x v="3"/>
    <x v="0"/>
    <s v="Dell"/>
    <n v="2"/>
    <n v="56000"/>
    <n v="112000"/>
    <n v="21000"/>
    <s v="New"/>
    <x v="1"/>
  </r>
  <r>
    <s v="O020"/>
    <s v="January"/>
    <x v="19"/>
    <x v="3"/>
    <x v="4"/>
    <x v="2"/>
    <s v="Headset"/>
    <n v="7"/>
    <n v="2200"/>
    <n v="15400"/>
    <n v="3800"/>
    <s v="Existing"/>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001"/>
    <x v="0"/>
    <x v="0"/>
    <x v="0"/>
    <x v="0"/>
    <s v="Laptop"/>
    <s v="Dell"/>
    <n v="2"/>
    <n v="55000"/>
    <n v="110000"/>
    <n v="18000"/>
    <x v="0"/>
    <x v="0"/>
  </r>
  <r>
    <s v="O002"/>
    <x v="0"/>
    <x v="1"/>
    <x v="1"/>
    <x v="1"/>
    <s v="Mobile"/>
    <s v="Samsung"/>
    <n v="3"/>
    <n v="22000"/>
    <n v="66000"/>
    <n v="9000"/>
    <x v="1"/>
    <x v="1"/>
  </r>
  <r>
    <s v="O003"/>
    <x v="0"/>
    <x v="2"/>
    <x v="2"/>
    <x v="2"/>
    <s v="Accessories"/>
    <s v="Mouse"/>
    <n v="10"/>
    <n v="700"/>
    <n v="7000"/>
    <n v="2000"/>
    <x v="0"/>
    <x v="2"/>
  </r>
  <r>
    <s v="O004"/>
    <x v="0"/>
    <x v="3"/>
    <x v="3"/>
    <x v="3"/>
    <s v="Laptop"/>
    <s v="HP"/>
    <n v="1"/>
    <n v="60000"/>
    <n v="60000"/>
    <n v="12000"/>
    <x v="1"/>
    <x v="1"/>
  </r>
  <r>
    <s v="O005"/>
    <x v="0"/>
    <x v="4"/>
    <x v="0"/>
    <x v="4"/>
    <s v="Printer"/>
    <s v="Canon"/>
    <n v="2"/>
    <n v="15000"/>
    <n v="30000"/>
    <n v="5000"/>
    <x v="0"/>
    <x v="0"/>
  </r>
  <r>
    <s v="O006"/>
    <x v="0"/>
    <x v="5"/>
    <x v="1"/>
    <x v="0"/>
    <s v="Mobile"/>
    <s v="Vivo"/>
    <n v="5"/>
    <n v="18000"/>
    <n v="90000"/>
    <n v="14000"/>
    <x v="1"/>
    <x v="2"/>
  </r>
  <r>
    <s v="O007"/>
    <x v="0"/>
    <x v="6"/>
    <x v="2"/>
    <x v="1"/>
    <s v="Laptop"/>
    <s v="Lenovo"/>
    <n v="1"/>
    <n v="52000"/>
    <n v="52000"/>
    <n v="10000"/>
    <x v="1"/>
    <x v="1"/>
  </r>
  <r>
    <s v="O008"/>
    <x v="0"/>
    <x v="7"/>
    <x v="3"/>
    <x v="2"/>
    <s v="Accessories"/>
    <s v="Keyboard"/>
    <n v="8"/>
    <n v="1200"/>
    <n v="9600"/>
    <n v="2400"/>
    <x v="0"/>
    <x v="0"/>
  </r>
  <r>
    <s v="O009"/>
    <x v="0"/>
    <x v="8"/>
    <x v="0"/>
    <x v="3"/>
    <s v="Printer"/>
    <s v="Epson"/>
    <n v="2"/>
    <n v="17000"/>
    <n v="34000"/>
    <n v="4500"/>
    <x v="1"/>
    <x v="2"/>
  </r>
  <r>
    <s v="O010"/>
    <x v="0"/>
    <x v="9"/>
    <x v="1"/>
    <x v="4"/>
    <s v="Mobile"/>
    <s v="Oppo"/>
    <n v="4"/>
    <n v="21000"/>
    <n v="84000"/>
    <n v="13000"/>
    <x v="0"/>
    <x v="1"/>
  </r>
  <r>
    <s v="O011"/>
    <x v="0"/>
    <x v="10"/>
    <x v="2"/>
    <x v="0"/>
    <s v="Laptop"/>
    <s v="Acer"/>
    <n v="2"/>
    <n v="50000"/>
    <n v="100000"/>
    <n v="17000"/>
    <x v="1"/>
    <x v="0"/>
  </r>
  <r>
    <s v="O012"/>
    <x v="0"/>
    <x v="11"/>
    <x v="3"/>
    <x v="1"/>
    <s v="Accessories"/>
    <s v="Webcam"/>
    <n v="6"/>
    <n v="2500"/>
    <n v="15000"/>
    <n v="4000"/>
    <x v="0"/>
    <x v="2"/>
  </r>
  <r>
    <s v="O013"/>
    <x v="0"/>
    <x v="12"/>
    <x v="0"/>
    <x v="2"/>
    <s v="Mobile"/>
    <s v="Redmi"/>
    <n v="5"/>
    <n v="15000"/>
    <n v="75000"/>
    <n v="11000"/>
    <x v="1"/>
    <x v="1"/>
  </r>
  <r>
    <s v="O014"/>
    <x v="0"/>
    <x v="13"/>
    <x v="1"/>
    <x v="3"/>
    <s v="Printer"/>
    <s v="Brother"/>
    <n v="2"/>
    <n v="16000"/>
    <n v="32000"/>
    <n v="6000"/>
    <x v="1"/>
    <x v="0"/>
  </r>
  <r>
    <s v="O015"/>
    <x v="0"/>
    <x v="14"/>
    <x v="2"/>
    <x v="4"/>
    <s v="Laptop"/>
    <s v="Asus"/>
    <n v="1"/>
    <n v="58000"/>
    <n v="58000"/>
    <n v="12000"/>
    <x v="0"/>
    <x v="2"/>
  </r>
  <r>
    <s v="O016"/>
    <x v="0"/>
    <x v="15"/>
    <x v="3"/>
    <x v="0"/>
    <s v="Accessories"/>
    <s v="Pendrive"/>
    <n v="20"/>
    <n v="800"/>
    <n v="16000"/>
    <n v="5000"/>
    <x v="1"/>
    <x v="0"/>
  </r>
  <r>
    <s v="O017"/>
    <x v="0"/>
    <x v="16"/>
    <x v="0"/>
    <x v="1"/>
    <s v="Mobile"/>
    <s v="Realme"/>
    <n v="4"/>
    <n v="17000"/>
    <n v="68000"/>
    <n v="9500"/>
    <x v="0"/>
    <x v="1"/>
  </r>
  <r>
    <s v="O018"/>
    <x v="0"/>
    <x v="17"/>
    <x v="1"/>
    <x v="2"/>
    <s v="Printer"/>
    <s v="HP"/>
    <n v="1"/>
    <n v="19000"/>
    <n v="19000"/>
    <n v="3500"/>
    <x v="1"/>
    <x v="2"/>
  </r>
  <r>
    <s v="O019"/>
    <x v="0"/>
    <x v="18"/>
    <x v="2"/>
    <x v="3"/>
    <s v="Laptop"/>
    <s v="Dell"/>
    <n v="2"/>
    <n v="56000"/>
    <n v="112000"/>
    <n v="21000"/>
    <x v="0"/>
    <x v="1"/>
  </r>
  <r>
    <s v="O020"/>
    <x v="0"/>
    <x v="19"/>
    <x v="3"/>
    <x v="4"/>
    <s v="Accessories"/>
    <s v="Headset"/>
    <n v="7"/>
    <n v="2200"/>
    <n v="15400"/>
    <n v="380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35516-D2CC-42AD-98D3-45B1AC67721C}" name="PivotTable1" cacheId="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D14:E18" firstHeaderRow="1" firstDataRow="1" firstDataCol="1"/>
  <pivotFields count="13">
    <pivotField compact="0" showAll="0"/>
    <pivotField compact="0" showAll="0"/>
    <pivotField compact="0" numFmtId="15"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axis="axisRow" compact="0" showAll="0">
      <items count="4">
        <item x="1"/>
        <item x="2"/>
        <item x="0"/>
        <item t="default"/>
      </items>
    </pivotField>
  </pivotFields>
  <rowFields count="1">
    <field x="12"/>
  </rowFields>
  <rowItems count="4">
    <i>
      <x/>
    </i>
    <i>
      <x v="1"/>
    </i>
    <i>
      <x v="2"/>
    </i>
    <i t="grand">
      <x/>
    </i>
  </rowItems>
  <colItems count="1">
    <i/>
  </colItems>
  <dataFields count="1">
    <dataField name="Sum of Sales" fld="9"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70BE7-17FD-4141-9CF0-035C9CCF06F7}" name="PivotTable6"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G14:H17" firstHeaderRow="1" firstDataRow="1" firstDataCol="1"/>
  <pivotFields count="13">
    <pivotField dataField="1" compact="0" showAll="0"/>
    <pivotField compact="0" showAll="0"/>
    <pivotField compact="0" numFmtId="15" showAll="0"/>
    <pivotField compact="0" showAll="0">
      <items count="6">
        <item x="3"/>
        <item x="0"/>
        <item x="1"/>
        <item x="2"/>
        <item f="1" x="4"/>
        <item t="default"/>
      </items>
    </pivotField>
    <pivotField compact="0" showAll="0"/>
    <pivotField compact="0" showAll="0"/>
    <pivotField compact="0" showAll="0"/>
    <pivotField compact="0" showAll="0"/>
    <pivotField compact="0" showAll="0"/>
    <pivotField compact="0" showAll="0"/>
    <pivotField compact="0" showAll="0"/>
    <pivotField axis="axisRow" compact="0" showAll="0">
      <items count="4">
        <item x="1"/>
        <item x="0"/>
        <item m="1" x="2"/>
        <item t="default"/>
      </items>
    </pivotField>
    <pivotField compact="0" showAll="0"/>
  </pivotFields>
  <rowFields count="1">
    <field x="11"/>
  </rowFields>
  <rowItems count="3">
    <i>
      <x/>
    </i>
    <i>
      <x v="1"/>
    </i>
    <i t="grand">
      <x/>
    </i>
  </rowItems>
  <colItems count="1">
    <i/>
  </colItems>
  <dataFields count="1">
    <dataField name="Count of Order ID" fld="0" subtotal="count" baseField="0"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06D319-DD5F-470A-9538-78EC20CA0545}" name="PivotTable4"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M5:N11" firstHeaderRow="1" firstDataRow="1" firstDataCol="1"/>
  <pivotFields count="13">
    <pivotField compact="0" showAll="0"/>
    <pivotField compact="0" showAll="0"/>
    <pivotField compact="0" numFmtId="15" showAll="0"/>
    <pivotField compact="0" showAll="0">
      <items count="6">
        <item x="3"/>
        <item x="0"/>
        <item x="1"/>
        <item x="2"/>
        <item f="1" x="4"/>
        <item t="default"/>
      </items>
    </pivotField>
    <pivotField axis="axisRow" compact="0" showAll="0">
      <items count="6">
        <item x="0"/>
        <item x="4"/>
        <item x="1"/>
        <item x="2"/>
        <item x="3"/>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s>
  <rowFields count="1">
    <field x="4"/>
  </rowFields>
  <rowItems count="6">
    <i>
      <x/>
    </i>
    <i>
      <x v="1"/>
    </i>
    <i>
      <x v="2"/>
    </i>
    <i>
      <x v="3"/>
    </i>
    <i>
      <x v="4"/>
    </i>
    <i t="grand">
      <x/>
    </i>
  </rowItems>
  <colItems count="1">
    <i/>
  </colItems>
  <dataFields count="1">
    <dataField name="Sum of Profit"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AF6A8C-20A2-45CE-9EDE-8329801130A3}" name="PivotTable3"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3">
  <location ref="J5:K7" firstHeaderRow="1" firstDataRow="1" firstDataCol="1"/>
  <pivotFields count="13">
    <pivotField compact="0" showAll="0"/>
    <pivotField axis="axisRow" compact="0" showAll="0">
      <items count="2">
        <item x="0"/>
        <item t="default"/>
      </items>
    </pivotField>
    <pivotField compact="0" numFmtId="15" showAll="0">
      <items count="21">
        <item x="0"/>
        <item x="1"/>
        <item x="2"/>
        <item x="3"/>
        <item x="4"/>
        <item x="5"/>
        <item x="6"/>
        <item x="7"/>
        <item x="8"/>
        <item x="9"/>
        <item x="10"/>
        <item x="11"/>
        <item x="12"/>
        <item x="13"/>
        <item x="14"/>
        <item x="15"/>
        <item x="16"/>
        <item x="17"/>
        <item x="18"/>
        <item x="19"/>
        <item t="default"/>
      </items>
    </pivotField>
    <pivotField compact="0" showAll="0">
      <items count="6">
        <item x="3"/>
        <item x="0"/>
        <item x="1"/>
        <item x="2"/>
        <item f="1" x="4"/>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1"/>
  </rowFields>
  <rowItems count="2">
    <i>
      <x/>
    </i>
    <i t="grand">
      <x/>
    </i>
  </rowItems>
  <colItems count="1">
    <i/>
  </colItems>
  <dataFields count="1">
    <dataField name="Sum of Sales" fld="9" baseField="0" baseItem="0"/>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9C4368-C2E9-4010-8BAD-3D09A28A164A}" name="PivotTable8" cacheId="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0">
  <location ref="G5:H10" firstHeaderRow="1" firstDataRow="1" firstDataCol="1"/>
  <pivotFields count="13">
    <pivotField compact="0" showAll="0"/>
    <pivotField compact="0" showAll="0"/>
    <pivotField compact="0" numFmtId="15" showAll="0"/>
    <pivotField compact="0" showAll="0"/>
    <pivotField compact="0" showAll="0"/>
    <pivotField axis="axisRow" compact="0" showAll="0">
      <items count="5">
        <item x="2"/>
        <item x="0"/>
        <item x="1"/>
        <item x="3"/>
        <item t="default"/>
      </items>
    </pivotField>
    <pivotField compact="0" showAll="0"/>
    <pivotField compact="0" showAll="0"/>
    <pivotField compact="0" showAll="0"/>
    <pivotField dataField="1" compact="0" showAll="0"/>
    <pivotField compact="0" showAll="0"/>
    <pivotField compact="0" showAll="0"/>
    <pivotField compact="0" showAll="0"/>
  </pivotFields>
  <rowFields count="1">
    <field x="5"/>
  </rowFields>
  <rowItems count="5">
    <i>
      <x/>
    </i>
    <i>
      <x v="1"/>
    </i>
    <i>
      <x v="2"/>
    </i>
    <i>
      <x v="3"/>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8E2A8C-3AB1-40C4-8E96-00BCC507BFF2}" name="PivotTable7" cacheId="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D5:E10" firstHeaderRow="1" firstDataRow="1" firstDataCol="1"/>
  <pivotFields count="13">
    <pivotField compact="0" showAll="0"/>
    <pivotField compact="0" showAll="0"/>
    <pivotField compact="0" numFmtId="15" showAll="0"/>
    <pivotField axis="axisRow" compact="0" showAll="0">
      <items count="5">
        <item x="3"/>
        <item x="0"/>
        <item x="1"/>
        <item x="2"/>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3"/>
  </rowFields>
  <rowItems count="5">
    <i>
      <x/>
    </i>
    <i>
      <x v="1"/>
    </i>
    <i>
      <x v="2"/>
    </i>
    <i>
      <x v="3"/>
    </i>
    <i t="grand">
      <x/>
    </i>
  </rowItems>
  <colItems count="1">
    <i/>
  </colItems>
  <dataFields count="1">
    <dataField name="Sum of Sales"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906E6-39FE-446E-A624-8CBA3B4254A1}" name="PivotTable7"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A64:B70" firstHeaderRow="1" firstDataRow="1" firstDataCol="1"/>
  <pivotFields count="13">
    <pivotField compact="0" showAll="0"/>
    <pivotField compact="0" showAll="0"/>
    <pivotField compact="0" numFmtId="15" showAll="0"/>
    <pivotField axis="axisRow" compact="0" showAll="0">
      <items count="6">
        <item x="3"/>
        <item x="0"/>
        <item x="1"/>
        <item x="2"/>
        <item f="1" x="4"/>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3"/>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6FAD1F-5E13-4263-9BF3-ED886EEEDF46}" name="PivotTable9"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Q69:R75" firstHeaderRow="1" firstDataRow="1" firstDataCol="1"/>
  <pivotFields count="13">
    <pivotField compact="0" showAll="0"/>
    <pivotField compact="0" showAll="0"/>
    <pivotField compact="0" numFmtId="15" showAll="0"/>
    <pivotField compact="0" showAll="0">
      <items count="6">
        <item x="3"/>
        <item x="0"/>
        <item x="1"/>
        <item x="2"/>
        <item f="1" x="4"/>
        <item t="default"/>
      </items>
    </pivotField>
    <pivotField axis="axisRow" compact="0" showAll="0">
      <items count="6">
        <item x="0"/>
        <item x="4"/>
        <item x="1"/>
        <item x="2"/>
        <item x="3"/>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s>
  <rowFields count="1">
    <field x="4"/>
  </rowFields>
  <rowItems count="6">
    <i>
      <x/>
    </i>
    <i>
      <x v="1"/>
    </i>
    <i>
      <x v="2"/>
    </i>
    <i>
      <x v="3"/>
    </i>
    <i>
      <x v="4"/>
    </i>
    <i t="grand">
      <x/>
    </i>
  </rowItems>
  <colItems count="1">
    <i/>
  </colItems>
  <dataFields count="1">
    <dataField name="Sum of Profit" fld="10"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7FA2CAB-0E0A-4D25-9D5D-3E1C35DFF543}" sourceName="Salesperson">
  <pivotTables>
    <pivotTable tabId="3" name="PivotTable4"/>
  </pivotTables>
  <data>
    <tabular pivotCacheId="392229762">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6CFCF97-3B11-4482-99E8-780A7F43697C}" sourceName="Date">
  <pivotTables>
    <pivotTable tabId="3" name="PivotTable3"/>
  </pivotTables>
  <data>
    <tabular pivotCacheId="392229762">
      <items count="20">
        <i x="0" s="1"/>
        <i x="1" s="1"/>
        <i x="2" s="1"/>
        <i x="3" s="1"/>
        <i x="4" s="1"/>
        <i x="5" s="1"/>
        <i x="6" s="1"/>
        <i x="7" s="1"/>
        <i x="8" s="1"/>
        <i x="9" s="1"/>
        <i x="10" s="1"/>
        <i x="11" s="1"/>
        <i x="12" s="1"/>
        <i x="13" s="1"/>
        <i x="14" s="1"/>
        <i x="15" s="1"/>
        <i x="16" s="1"/>
        <i x="17" s="1"/>
        <i x="18"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F18E737-228B-416B-9EEC-81ACD8C9EEAA}" sourceName="Region">
  <pivotTables>
    <pivotTable tabId="3" name="PivotTable7"/>
  </pivotTables>
  <data>
    <tabular pivotCacheId="100057860">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1DA753B4-D6FB-49C7-A2C6-D17159B58CB5}" sourceName="Category">
  <pivotTables>
    <pivotTable tabId="3" name="PivotTable8"/>
  </pivotTables>
  <data>
    <tabular pivotCacheId="100057860">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C49E681-D285-41E1-9BFE-E9164C3C4F83}" sourceName="Payment Mode">
  <pivotTables>
    <pivotTable tabId="3" name="PivotTable1"/>
  </pivotTables>
  <data>
    <tabular pivotCacheId="100057860">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08115A1C-4D7A-4DFB-887D-D7A76B4A7D36}" sourceName="Date">
  <extLst>
    <x:ext xmlns:x15="http://schemas.microsoft.com/office/spreadsheetml/2010/11/main" uri="{2F2917AC-EB37-4324-AD4E-5DD8C200BD13}">
      <x15:tableSlicerCache tableId="1"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F40031E-80CB-4A5F-AE1A-AEF9221A5E07}" sourceName="Region">
  <extLst>
    <x:ext xmlns:x15="http://schemas.microsoft.com/office/spreadsheetml/2010/11/main" uri="{2F2917AC-EB37-4324-AD4E-5DD8C200BD13}">
      <x15:tableSlicerCache tableId="1"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8D59B426-EBA4-4BD3-BACA-6AFDB2266291}" sourceName="Salesperson">
  <extLst>
    <x:ext xmlns:x15="http://schemas.microsoft.com/office/spreadsheetml/2010/11/main" uri="{2F2917AC-EB37-4324-AD4E-5DD8C200BD13}">
      <x15:tableSlicerCache tableId="1" column="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54B8973-AB8B-4F89-B51D-E3F1841F7A59}" sourceName="Categor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64BE58B-9B13-4C97-AF5F-B1BA600C5916}" cache="Slicer_Date1" caption="Date" columnCount="4" rowHeight="234950"/>
  <slicer name="Region 2" xr10:uid="{560646D2-A0A8-48B1-B738-93D158A5C187}" cache="Slicer_Region2" caption="Region" columnCount="4" rowHeight="234950"/>
  <slicer name="Salesperson" xr10:uid="{E49F23A9-41EF-4F77-AED5-E46B14C73FD2}" cache="Slicer_Salesperson1" caption="Salesperson" columnCount="4" rowHeight="234950"/>
  <slicer name="Category" xr10:uid="{0A270940-B25E-44AE-A7DE-1D7F531FCAED}" cache="Slicer_Category1" caption="Category"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3" xr10:uid="{77DA8C8A-0A4A-41F6-BECA-FAA9C4CD9386}" cache="Slicer_Salesperson" caption="Salesperson" columnCount="4" style="SlicerStyleLight3" rowHeight="234950"/>
  <slicer name="Date 3" xr10:uid="{93468BE0-6276-4B35-A887-7F5D7E667E63}" cache="Slicer_Date" caption="Date" columnCount="4" style="SlicerStyleLight6" rowHeight="234950"/>
  <slicer name="Region 1" xr10:uid="{02974E62-BA3F-4FC2-B4B2-F7CEFA66ACB2}" cache="Slicer_Region1" caption="Region" columnCount="4" style="SlicerStyleLight4" rowHeight="234950"/>
  <slicer name="Category 2" xr10:uid="{F46ACFA5-1E8F-4AA6-8315-61A5E9BFB95A}" cache="Slicer_Category2" caption="Category" columnCount="4" style="SlicerStyleLight4" rowHeight="234950"/>
  <slicer name="Payment Mode 2" xr10:uid="{3D739382-B20F-4895-B90B-64FEE6B4CD07}" cache="Slicer_Payment_Mode" caption="Payment Mode" columnCount="4"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94A4CE-4040-44FA-9CD8-47D717779DE0}" name="Table1" displayName="Table1" ref="E4:Q24" totalsRowShown="0" headerRowDxfId="14" dataDxfId="13">
  <autoFilter ref="E4:Q24" xr:uid="{F194A4CE-4040-44FA-9CD8-47D717779DE0}"/>
  <tableColumns count="13">
    <tableColumn id="1" xr3:uid="{5223B6C9-500A-4FC8-A02A-85DA105CC8D2}" name="Order ID" dataDxfId="12"/>
    <tableColumn id="2" xr3:uid="{028E1145-B886-4CA2-A533-512621D14CE4}" name="month" dataDxfId="11">
      <calculatedColumnFormula>TEXT(G5,"mmmm")</calculatedColumnFormula>
    </tableColumn>
    <tableColumn id="3" xr3:uid="{DC3BDA26-1A42-4A8A-B67A-EA51E5F4BDF9}" name="Date" dataDxfId="10"/>
    <tableColumn id="4" xr3:uid="{B77CF2C3-D521-4DCF-A603-03F2D05F10F6}" name="Region" dataDxfId="9"/>
    <tableColumn id="5" xr3:uid="{7523BD67-ACC2-4A08-97C2-162934928A18}" name="Salesperson" dataDxfId="8"/>
    <tableColumn id="6" xr3:uid="{21200E67-689F-4BC3-A8DD-B0198E09574A}" name="Category" dataDxfId="7"/>
    <tableColumn id="7" xr3:uid="{F2A591A0-037E-4F69-AEFC-74AD84423691}" name="Product" dataDxfId="6"/>
    <tableColumn id="8" xr3:uid="{5F5B4306-5694-4886-BD89-55CC2FF3CE6A}" name="Units" dataDxfId="5"/>
    <tableColumn id="9" xr3:uid="{68F3BB48-7118-47FB-B1B5-800AC74C2AD6}" name="Unit Price" dataDxfId="4"/>
    <tableColumn id="10" xr3:uid="{E0B82AE6-7FCB-470D-87BC-E43F2FE1EA03}" name="Sales" dataDxfId="3"/>
    <tableColumn id="11" xr3:uid="{C6A099FC-1A60-4FDB-9896-A24D90F23C56}" name="Profit" dataDxfId="2"/>
    <tableColumn id="12" xr3:uid="{E97F22C0-A744-4D76-8C71-88434F5F3F8B}" name="Customer Type" dataDxfId="1"/>
    <tableColumn id="13" xr3:uid="{101CD1B8-A3DD-4D70-AE8F-C65194A593F6}" name="Payment Mode"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Q48"/>
  <sheetViews>
    <sheetView tabSelected="1" topLeftCell="D1" zoomScale="94" zoomScaleNormal="94" workbookViewId="0">
      <selection activeCell="Q28" sqref="Q28:R32"/>
    </sheetView>
  </sheetViews>
  <sheetFormatPr defaultRowHeight="13.8" x14ac:dyDescent="0.25"/>
  <cols>
    <col min="5" max="6" width="9.796875" customWidth="1"/>
    <col min="9" max="9" width="10.69921875" customWidth="1"/>
    <col min="10" max="11" width="11.296875" customWidth="1"/>
    <col min="12" max="12" width="11.8984375" customWidth="1"/>
    <col min="13" max="13" width="10.69921875" customWidth="1"/>
    <col min="14" max="14" width="11.59765625" customWidth="1"/>
    <col min="15" max="15" width="13.796875" customWidth="1"/>
    <col min="16" max="16" width="10.69921875" customWidth="1"/>
    <col min="17" max="17" width="14.5" bestFit="1" customWidth="1"/>
    <col min="18" max="18" width="10.8984375" bestFit="1" customWidth="1"/>
    <col min="19" max="19" width="10.19921875" bestFit="1" customWidth="1"/>
    <col min="20" max="20" width="10.796875" bestFit="1" customWidth="1"/>
    <col min="21" max="21" width="8"/>
    <col min="22" max="22" width="9.296875" customWidth="1"/>
    <col min="23" max="23" width="10.19921875" bestFit="1" customWidth="1"/>
    <col min="24" max="25" width="10.796875" bestFit="1" customWidth="1"/>
  </cols>
  <sheetData>
    <row r="4" spans="5:17" ht="28.2" thickBot="1" x14ac:dyDescent="0.3">
      <c r="E4" s="1" t="s">
        <v>0</v>
      </c>
      <c r="F4" s="1" t="s">
        <v>68</v>
      </c>
      <c r="G4" s="2" t="s">
        <v>1</v>
      </c>
      <c r="H4" s="2" t="s">
        <v>2</v>
      </c>
      <c r="I4" s="2" t="s">
        <v>3</v>
      </c>
      <c r="J4" s="2" t="s">
        <v>4</v>
      </c>
      <c r="K4" s="2" t="s">
        <v>5</v>
      </c>
      <c r="L4" s="3" t="s">
        <v>6</v>
      </c>
      <c r="M4" s="3" t="s">
        <v>7</v>
      </c>
      <c r="N4" s="3" t="s">
        <v>8</v>
      </c>
      <c r="O4" s="3" t="s">
        <v>9</v>
      </c>
      <c r="P4" s="2" t="s">
        <v>10</v>
      </c>
      <c r="Q4" s="2" t="s">
        <v>11</v>
      </c>
    </row>
    <row r="5" spans="5:17" ht="15" thickTop="1" thickBot="1" x14ac:dyDescent="0.3">
      <c r="E5" s="4" t="s">
        <v>12</v>
      </c>
      <c r="F5" s="4" t="str">
        <f>TEXT(G5,"mmmm")</f>
        <v>January</v>
      </c>
      <c r="G5" s="5">
        <v>46023</v>
      </c>
      <c r="H5" s="6" t="s">
        <v>13</v>
      </c>
      <c r="I5" s="6" t="s">
        <v>14</v>
      </c>
      <c r="J5" s="6" t="s">
        <v>15</v>
      </c>
      <c r="K5" s="6" t="s">
        <v>16</v>
      </c>
      <c r="L5" s="7">
        <v>2</v>
      </c>
      <c r="M5" s="7">
        <v>55000</v>
      </c>
      <c r="N5" s="7">
        <v>110000</v>
      </c>
      <c r="O5" s="7">
        <v>18000</v>
      </c>
      <c r="P5" s="6" t="s">
        <v>17</v>
      </c>
      <c r="Q5" s="6" t="s">
        <v>18</v>
      </c>
    </row>
    <row r="6" spans="5:17" ht="15" thickTop="1" thickBot="1" x14ac:dyDescent="0.3">
      <c r="E6" s="8" t="s">
        <v>19</v>
      </c>
      <c r="F6" s="4" t="str">
        <f t="shared" ref="F6:F24" si="0">TEXT(G6,"mmmm")</f>
        <v>January</v>
      </c>
      <c r="G6" s="9">
        <v>46024</v>
      </c>
      <c r="H6" s="10" t="s">
        <v>20</v>
      </c>
      <c r="I6" s="10" t="s">
        <v>21</v>
      </c>
      <c r="J6" s="10" t="s">
        <v>22</v>
      </c>
      <c r="K6" s="10" t="s">
        <v>23</v>
      </c>
      <c r="L6" s="11">
        <v>3</v>
      </c>
      <c r="M6" s="11">
        <v>22000</v>
      </c>
      <c r="N6" s="11">
        <v>66000</v>
      </c>
      <c r="O6" s="11">
        <v>9000</v>
      </c>
      <c r="P6" s="10" t="s">
        <v>24</v>
      </c>
      <c r="Q6" s="10" t="s">
        <v>25</v>
      </c>
    </row>
    <row r="7" spans="5:17" ht="15" thickTop="1" thickBot="1" x14ac:dyDescent="0.3">
      <c r="E7" s="12" t="s">
        <v>26</v>
      </c>
      <c r="F7" s="4" t="str">
        <f t="shared" si="0"/>
        <v>January</v>
      </c>
      <c r="G7" s="13">
        <v>46025</v>
      </c>
      <c r="H7" s="14" t="s">
        <v>27</v>
      </c>
      <c r="I7" s="14" t="s">
        <v>28</v>
      </c>
      <c r="J7" s="14" t="s">
        <v>29</v>
      </c>
      <c r="K7" s="14" t="s">
        <v>30</v>
      </c>
      <c r="L7" s="15">
        <v>10</v>
      </c>
      <c r="M7" s="15">
        <v>700</v>
      </c>
      <c r="N7" s="15">
        <v>7000</v>
      </c>
      <c r="O7" s="15">
        <v>2000</v>
      </c>
      <c r="P7" s="14" t="s">
        <v>17</v>
      </c>
      <c r="Q7" s="14" t="s">
        <v>31</v>
      </c>
    </row>
    <row r="8" spans="5:17" ht="15" thickTop="1" thickBot="1" x14ac:dyDescent="0.3">
      <c r="E8" s="8" t="s">
        <v>32</v>
      </c>
      <c r="F8" s="4" t="str">
        <f t="shared" si="0"/>
        <v>January</v>
      </c>
      <c r="G8" s="9">
        <v>46026</v>
      </c>
      <c r="H8" s="10" t="s">
        <v>33</v>
      </c>
      <c r="I8" s="10" t="s">
        <v>34</v>
      </c>
      <c r="J8" s="10" t="s">
        <v>15</v>
      </c>
      <c r="K8" s="10" t="s">
        <v>35</v>
      </c>
      <c r="L8" s="11">
        <v>1</v>
      </c>
      <c r="M8" s="11">
        <v>60000</v>
      </c>
      <c r="N8" s="11">
        <v>60000</v>
      </c>
      <c r="O8" s="11">
        <v>12000</v>
      </c>
      <c r="P8" s="10" t="s">
        <v>24</v>
      </c>
      <c r="Q8" s="10" t="s">
        <v>25</v>
      </c>
    </row>
    <row r="9" spans="5:17" ht="15" thickTop="1" thickBot="1" x14ac:dyDescent="0.3">
      <c r="E9" s="12" t="s">
        <v>36</v>
      </c>
      <c r="F9" s="4" t="str">
        <f t="shared" si="0"/>
        <v>January</v>
      </c>
      <c r="G9" s="13">
        <v>46027</v>
      </c>
      <c r="H9" s="14" t="s">
        <v>13</v>
      </c>
      <c r="I9" s="14" t="s">
        <v>37</v>
      </c>
      <c r="J9" s="14" t="s">
        <v>38</v>
      </c>
      <c r="K9" s="14" t="s">
        <v>39</v>
      </c>
      <c r="L9" s="15">
        <v>2</v>
      </c>
      <c r="M9" s="15">
        <v>15000</v>
      </c>
      <c r="N9" s="15">
        <v>30000</v>
      </c>
      <c r="O9" s="15">
        <v>5000</v>
      </c>
      <c r="P9" s="14" t="s">
        <v>17</v>
      </c>
      <c r="Q9" s="14" t="s">
        <v>18</v>
      </c>
    </row>
    <row r="10" spans="5:17" ht="15" thickTop="1" thickBot="1" x14ac:dyDescent="0.3">
      <c r="E10" s="8" t="s">
        <v>40</v>
      </c>
      <c r="F10" s="4" t="str">
        <f t="shared" si="0"/>
        <v>January</v>
      </c>
      <c r="G10" s="9">
        <v>46028</v>
      </c>
      <c r="H10" s="10" t="s">
        <v>20</v>
      </c>
      <c r="I10" s="10" t="s">
        <v>14</v>
      </c>
      <c r="J10" s="10" t="s">
        <v>22</v>
      </c>
      <c r="K10" s="10" t="s">
        <v>41</v>
      </c>
      <c r="L10" s="11">
        <v>5</v>
      </c>
      <c r="M10" s="11">
        <v>18000</v>
      </c>
      <c r="N10" s="11">
        <v>90000</v>
      </c>
      <c r="O10" s="11">
        <v>14000</v>
      </c>
      <c r="P10" s="10" t="s">
        <v>24</v>
      </c>
      <c r="Q10" s="10" t="s">
        <v>31</v>
      </c>
    </row>
    <row r="11" spans="5:17" ht="15" thickTop="1" thickBot="1" x14ac:dyDescent="0.3">
      <c r="E11" s="12" t="s">
        <v>42</v>
      </c>
      <c r="F11" s="4" t="str">
        <f t="shared" si="0"/>
        <v>January</v>
      </c>
      <c r="G11" s="13">
        <v>46029</v>
      </c>
      <c r="H11" s="14" t="s">
        <v>27</v>
      </c>
      <c r="I11" s="14" t="s">
        <v>21</v>
      </c>
      <c r="J11" s="14" t="s">
        <v>15</v>
      </c>
      <c r="K11" s="14" t="s">
        <v>43</v>
      </c>
      <c r="L11" s="15">
        <v>1</v>
      </c>
      <c r="M11" s="15">
        <v>52000</v>
      </c>
      <c r="N11" s="15">
        <v>52000</v>
      </c>
      <c r="O11" s="15">
        <v>10000</v>
      </c>
      <c r="P11" s="14" t="s">
        <v>24</v>
      </c>
      <c r="Q11" s="14" t="s">
        <v>25</v>
      </c>
    </row>
    <row r="12" spans="5:17" ht="15" thickTop="1" thickBot="1" x14ac:dyDescent="0.3">
      <c r="E12" s="8" t="s">
        <v>44</v>
      </c>
      <c r="F12" s="4" t="str">
        <f t="shared" si="0"/>
        <v>January</v>
      </c>
      <c r="G12" s="9">
        <v>46030</v>
      </c>
      <c r="H12" s="10" t="s">
        <v>33</v>
      </c>
      <c r="I12" s="10" t="s">
        <v>28</v>
      </c>
      <c r="J12" s="10" t="s">
        <v>29</v>
      </c>
      <c r="K12" s="10" t="s">
        <v>45</v>
      </c>
      <c r="L12" s="11">
        <v>8</v>
      </c>
      <c r="M12" s="11">
        <v>1200</v>
      </c>
      <c r="N12" s="11">
        <v>9600</v>
      </c>
      <c r="O12" s="11">
        <v>2400</v>
      </c>
      <c r="P12" s="10" t="s">
        <v>17</v>
      </c>
      <c r="Q12" s="10" t="s">
        <v>18</v>
      </c>
    </row>
    <row r="13" spans="5:17" ht="15" thickTop="1" thickBot="1" x14ac:dyDescent="0.3">
      <c r="E13" s="12" t="s">
        <v>46</v>
      </c>
      <c r="F13" s="4" t="str">
        <f t="shared" si="0"/>
        <v>January</v>
      </c>
      <c r="G13" s="13">
        <v>46031</v>
      </c>
      <c r="H13" s="14" t="s">
        <v>13</v>
      </c>
      <c r="I13" s="14" t="s">
        <v>34</v>
      </c>
      <c r="J13" s="14" t="s">
        <v>38</v>
      </c>
      <c r="K13" s="14" t="s">
        <v>47</v>
      </c>
      <c r="L13" s="15">
        <v>2</v>
      </c>
      <c r="M13" s="15">
        <v>17000</v>
      </c>
      <c r="N13" s="15">
        <v>34000</v>
      </c>
      <c r="O13" s="15">
        <v>4500</v>
      </c>
      <c r="P13" s="14" t="s">
        <v>24</v>
      </c>
      <c r="Q13" s="14" t="s">
        <v>31</v>
      </c>
    </row>
    <row r="14" spans="5:17" ht="15" thickTop="1" thickBot="1" x14ac:dyDescent="0.3">
      <c r="E14" s="8" t="s">
        <v>48</v>
      </c>
      <c r="F14" s="4" t="str">
        <f t="shared" si="0"/>
        <v>January</v>
      </c>
      <c r="G14" s="9">
        <v>46032</v>
      </c>
      <c r="H14" s="10" t="s">
        <v>20</v>
      </c>
      <c r="I14" s="10" t="s">
        <v>37</v>
      </c>
      <c r="J14" s="10" t="s">
        <v>22</v>
      </c>
      <c r="K14" s="10" t="s">
        <v>49</v>
      </c>
      <c r="L14" s="11">
        <v>4</v>
      </c>
      <c r="M14" s="11">
        <v>21000</v>
      </c>
      <c r="N14" s="11">
        <v>84000</v>
      </c>
      <c r="O14" s="11">
        <v>13000</v>
      </c>
      <c r="P14" s="10" t="s">
        <v>17</v>
      </c>
      <c r="Q14" s="10" t="s">
        <v>25</v>
      </c>
    </row>
    <row r="15" spans="5:17" ht="15" thickTop="1" thickBot="1" x14ac:dyDescent="0.3">
      <c r="E15" s="12" t="s">
        <v>50</v>
      </c>
      <c r="F15" s="4" t="str">
        <f t="shared" si="0"/>
        <v>January</v>
      </c>
      <c r="G15" s="13">
        <v>46033</v>
      </c>
      <c r="H15" s="14" t="s">
        <v>27</v>
      </c>
      <c r="I15" s="14" t="s">
        <v>14</v>
      </c>
      <c r="J15" s="14" t="s">
        <v>15</v>
      </c>
      <c r="K15" s="14" t="s">
        <v>51</v>
      </c>
      <c r="L15" s="15">
        <v>2</v>
      </c>
      <c r="M15" s="15">
        <v>50000</v>
      </c>
      <c r="N15" s="15">
        <v>100000</v>
      </c>
      <c r="O15" s="15">
        <v>17000</v>
      </c>
      <c r="P15" s="14" t="s">
        <v>24</v>
      </c>
      <c r="Q15" s="14" t="s">
        <v>18</v>
      </c>
    </row>
    <row r="16" spans="5:17" ht="15" thickTop="1" thickBot="1" x14ac:dyDescent="0.3">
      <c r="E16" s="8" t="s">
        <v>52</v>
      </c>
      <c r="F16" s="4" t="str">
        <f t="shared" si="0"/>
        <v>January</v>
      </c>
      <c r="G16" s="9">
        <v>46034</v>
      </c>
      <c r="H16" s="10" t="s">
        <v>33</v>
      </c>
      <c r="I16" s="10" t="s">
        <v>21</v>
      </c>
      <c r="J16" s="10" t="s">
        <v>29</v>
      </c>
      <c r="K16" s="10" t="s">
        <v>53</v>
      </c>
      <c r="L16" s="11">
        <v>6</v>
      </c>
      <c r="M16" s="11">
        <v>2500</v>
      </c>
      <c r="N16" s="11">
        <v>15000</v>
      </c>
      <c r="O16" s="11">
        <v>4000</v>
      </c>
      <c r="P16" s="10" t="s">
        <v>17</v>
      </c>
      <c r="Q16" s="10" t="s">
        <v>31</v>
      </c>
    </row>
    <row r="17" spans="1:17" ht="15" thickTop="1" thickBot="1" x14ac:dyDescent="0.3">
      <c r="E17" s="12" t="s">
        <v>54</v>
      </c>
      <c r="F17" s="4" t="str">
        <f t="shared" si="0"/>
        <v>January</v>
      </c>
      <c r="G17" s="13">
        <v>46035</v>
      </c>
      <c r="H17" s="14" t="s">
        <v>13</v>
      </c>
      <c r="I17" s="14" t="s">
        <v>28</v>
      </c>
      <c r="J17" s="14" t="s">
        <v>22</v>
      </c>
      <c r="K17" s="14" t="s">
        <v>55</v>
      </c>
      <c r="L17" s="15">
        <v>5</v>
      </c>
      <c r="M17" s="15">
        <v>15000</v>
      </c>
      <c r="N17" s="15">
        <v>75000</v>
      </c>
      <c r="O17" s="15">
        <v>11000</v>
      </c>
      <c r="P17" s="14" t="s">
        <v>24</v>
      </c>
      <c r="Q17" s="14" t="s">
        <v>25</v>
      </c>
    </row>
    <row r="18" spans="1:17" ht="15" thickTop="1" thickBot="1" x14ac:dyDescent="0.3">
      <c r="E18" s="8" t="s">
        <v>56</v>
      </c>
      <c r="F18" s="4" t="str">
        <f t="shared" si="0"/>
        <v>January</v>
      </c>
      <c r="G18" s="9">
        <v>46036</v>
      </c>
      <c r="H18" s="10" t="s">
        <v>20</v>
      </c>
      <c r="I18" s="10" t="s">
        <v>34</v>
      </c>
      <c r="J18" s="10" t="s">
        <v>38</v>
      </c>
      <c r="K18" s="10" t="s">
        <v>57</v>
      </c>
      <c r="L18" s="11">
        <v>2</v>
      </c>
      <c r="M18" s="11">
        <v>16000</v>
      </c>
      <c r="N18" s="11">
        <v>32000</v>
      </c>
      <c r="O18" s="11">
        <v>6000</v>
      </c>
      <c r="P18" s="10" t="s">
        <v>24</v>
      </c>
      <c r="Q18" s="10" t="s">
        <v>18</v>
      </c>
    </row>
    <row r="19" spans="1:17" ht="15" thickTop="1" thickBot="1" x14ac:dyDescent="0.3">
      <c r="E19" s="12" t="s">
        <v>58</v>
      </c>
      <c r="F19" s="4" t="str">
        <f t="shared" si="0"/>
        <v>January</v>
      </c>
      <c r="G19" s="13">
        <v>46037</v>
      </c>
      <c r="H19" s="14" t="s">
        <v>27</v>
      </c>
      <c r="I19" s="14" t="s">
        <v>37</v>
      </c>
      <c r="J19" s="14" t="s">
        <v>15</v>
      </c>
      <c r="K19" s="14" t="s">
        <v>59</v>
      </c>
      <c r="L19" s="15">
        <v>1</v>
      </c>
      <c r="M19" s="15">
        <v>58000</v>
      </c>
      <c r="N19" s="15">
        <v>58000</v>
      </c>
      <c r="O19" s="15">
        <v>12000</v>
      </c>
      <c r="P19" s="14" t="s">
        <v>17</v>
      </c>
      <c r="Q19" s="14" t="s">
        <v>31</v>
      </c>
    </row>
    <row r="20" spans="1:17" ht="15" thickTop="1" thickBot="1" x14ac:dyDescent="0.3">
      <c r="E20" s="8" t="s">
        <v>60</v>
      </c>
      <c r="F20" s="4" t="str">
        <f t="shared" si="0"/>
        <v>January</v>
      </c>
      <c r="G20" s="9">
        <v>46038</v>
      </c>
      <c r="H20" s="10" t="s">
        <v>33</v>
      </c>
      <c r="I20" s="10" t="s">
        <v>14</v>
      </c>
      <c r="J20" s="10" t="s">
        <v>29</v>
      </c>
      <c r="K20" s="10" t="s">
        <v>61</v>
      </c>
      <c r="L20" s="11">
        <v>20</v>
      </c>
      <c r="M20" s="11">
        <v>800</v>
      </c>
      <c r="N20" s="11">
        <v>16000</v>
      </c>
      <c r="O20" s="11">
        <v>5000</v>
      </c>
      <c r="P20" s="10" t="s">
        <v>24</v>
      </c>
      <c r="Q20" s="10" t="s">
        <v>18</v>
      </c>
    </row>
    <row r="21" spans="1:17" ht="15" thickTop="1" thickBot="1" x14ac:dyDescent="0.3">
      <c r="E21" s="12" t="s">
        <v>62</v>
      </c>
      <c r="F21" s="4" t="str">
        <f t="shared" si="0"/>
        <v>January</v>
      </c>
      <c r="G21" s="13">
        <v>46039</v>
      </c>
      <c r="H21" s="14" t="s">
        <v>13</v>
      </c>
      <c r="I21" s="14" t="s">
        <v>21</v>
      </c>
      <c r="J21" s="14" t="s">
        <v>22</v>
      </c>
      <c r="K21" s="14" t="s">
        <v>63</v>
      </c>
      <c r="L21" s="15">
        <v>4</v>
      </c>
      <c r="M21" s="15">
        <v>17000</v>
      </c>
      <c r="N21" s="15">
        <v>68000</v>
      </c>
      <c r="O21" s="15">
        <v>9500</v>
      </c>
      <c r="P21" s="14" t="s">
        <v>17</v>
      </c>
      <c r="Q21" s="14" t="s">
        <v>25</v>
      </c>
    </row>
    <row r="22" spans="1:17" ht="15" thickTop="1" thickBot="1" x14ac:dyDescent="0.3">
      <c r="E22" s="8" t="s">
        <v>64</v>
      </c>
      <c r="F22" s="4" t="str">
        <f t="shared" si="0"/>
        <v>January</v>
      </c>
      <c r="G22" s="9">
        <v>46040</v>
      </c>
      <c r="H22" s="10" t="s">
        <v>20</v>
      </c>
      <c r="I22" s="10" t="s">
        <v>28</v>
      </c>
      <c r="J22" s="10" t="s">
        <v>38</v>
      </c>
      <c r="K22" s="10" t="s">
        <v>35</v>
      </c>
      <c r="L22" s="11">
        <v>1</v>
      </c>
      <c r="M22" s="11">
        <v>19000</v>
      </c>
      <c r="N22" s="11">
        <v>19000</v>
      </c>
      <c r="O22" s="11">
        <v>3500</v>
      </c>
      <c r="P22" s="10" t="s">
        <v>24</v>
      </c>
      <c r="Q22" s="10" t="s">
        <v>31</v>
      </c>
    </row>
    <row r="23" spans="1:17" ht="15" thickTop="1" thickBot="1" x14ac:dyDescent="0.3">
      <c r="E23" s="12" t="s">
        <v>65</v>
      </c>
      <c r="F23" s="4" t="str">
        <f t="shared" si="0"/>
        <v>January</v>
      </c>
      <c r="G23" s="13">
        <v>46041</v>
      </c>
      <c r="H23" s="14" t="s">
        <v>27</v>
      </c>
      <c r="I23" s="14" t="s">
        <v>34</v>
      </c>
      <c r="J23" s="14" t="s">
        <v>15</v>
      </c>
      <c r="K23" s="14" t="s">
        <v>16</v>
      </c>
      <c r="L23" s="15">
        <v>2</v>
      </c>
      <c r="M23" s="15">
        <v>56000</v>
      </c>
      <c r="N23" s="15">
        <v>112000</v>
      </c>
      <c r="O23" s="15">
        <v>21000</v>
      </c>
      <c r="P23" s="14" t="s">
        <v>17</v>
      </c>
      <c r="Q23" s="14" t="s">
        <v>25</v>
      </c>
    </row>
    <row r="24" spans="1:17" ht="14.4" thickTop="1" x14ac:dyDescent="0.25">
      <c r="E24" s="8" t="s">
        <v>66</v>
      </c>
      <c r="F24" s="4" t="str">
        <f t="shared" si="0"/>
        <v>January</v>
      </c>
      <c r="G24" s="9">
        <v>46042</v>
      </c>
      <c r="H24" s="10" t="s">
        <v>33</v>
      </c>
      <c r="I24" s="10" t="s">
        <v>37</v>
      </c>
      <c r="J24" s="10" t="s">
        <v>29</v>
      </c>
      <c r="K24" s="10" t="s">
        <v>67</v>
      </c>
      <c r="L24" s="11">
        <v>7</v>
      </c>
      <c r="M24" s="11">
        <v>2200</v>
      </c>
      <c r="N24" s="11">
        <v>15400</v>
      </c>
      <c r="O24" s="11">
        <v>3800</v>
      </c>
      <c r="P24" s="10" t="s">
        <v>24</v>
      </c>
      <c r="Q24" s="10" t="s">
        <v>18</v>
      </c>
    </row>
    <row r="27" spans="1:17" x14ac:dyDescent="0.25">
      <c r="H27" t="s">
        <v>69</v>
      </c>
      <c r="I27">
        <f>SUM(N5:N24)</f>
        <v>1053000</v>
      </c>
      <c r="K27" s="19" t="s">
        <v>85</v>
      </c>
      <c r="L27" s="19" t="s">
        <v>86</v>
      </c>
      <c r="N27" s="19" t="s">
        <v>85</v>
      </c>
      <c r="O27" s="19" t="s">
        <v>87</v>
      </c>
    </row>
    <row r="28" spans="1:17" x14ac:dyDescent="0.25">
      <c r="A28" t="s">
        <v>73</v>
      </c>
      <c r="K28" s="18" t="s">
        <v>19</v>
      </c>
      <c r="L28" s="18" t="str">
        <f>VLOOKUP(K28,Table1[],7,FALSE)</f>
        <v>Samsung</v>
      </c>
      <c r="N28" s="18" t="s">
        <v>36</v>
      </c>
      <c r="O28" s="18" t="str">
        <f>VLOOKUP(N28,Table1[],13,FALSE)</f>
        <v>UPI</v>
      </c>
    </row>
    <row r="29" spans="1:17" x14ac:dyDescent="0.25">
      <c r="A29" t="s">
        <v>74</v>
      </c>
      <c r="H29" t="s">
        <v>70</v>
      </c>
      <c r="I29">
        <f>SUM(O5:O24)</f>
        <v>182700</v>
      </c>
    </row>
    <row r="30" spans="1:17" x14ac:dyDescent="0.25">
      <c r="A30" t="s">
        <v>73</v>
      </c>
    </row>
    <row r="31" spans="1:17" x14ac:dyDescent="0.25">
      <c r="H31" t="s">
        <v>71</v>
      </c>
      <c r="I31">
        <f>COUNTA(E5:E24)</f>
        <v>20</v>
      </c>
      <c r="K31" s="19" t="s">
        <v>88</v>
      </c>
      <c r="L31" s="19" t="s">
        <v>89</v>
      </c>
      <c r="N31" s="19" t="s">
        <v>90</v>
      </c>
      <c r="O31" s="19" t="s">
        <v>91</v>
      </c>
    </row>
    <row r="32" spans="1:17" x14ac:dyDescent="0.25">
      <c r="A32" t="s">
        <v>75</v>
      </c>
      <c r="K32" s="18" t="s">
        <v>23</v>
      </c>
      <c r="L32" s="18">
        <f>VLOOKUP(K32,Table1[[Product]:[Payment Mode]],3,FALSE)</f>
        <v>22000</v>
      </c>
      <c r="N32" s="20">
        <v>46025</v>
      </c>
      <c r="O32" s="18">
        <f>VLOOKUP(N32,Table1[[Date]:[Payment Mode]],8,FALSE)</f>
        <v>7000</v>
      </c>
    </row>
    <row r="33" spans="1:15" x14ac:dyDescent="0.25">
      <c r="H33" t="s">
        <v>72</v>
      </c>
      <c r="I33">
        <f>SUM(L5:L24)</f>
        <v>88</v>
      </c>
    </row>
    <row r="34" spans="1:15" x14ac:dyDescent="0.25">
      <c r="A34" t="s">
        <v>73</v>
      </c>
      <c r="K34" s="19" t="s">
        <v>92</v>
      </c>
      <c r="L34" s="19" t="s">
        <v>93</v>
      </c>
      <c r="N34" s="19" t="s">
        <v>86</v>
      </c>
      <c r="O34" s="19" t="s">
        <v>94</v>
      </c>
    </row>
    <row r="35" spans="1:15" x14ac:dyDescent="0.25">
      <c r="K35" s="20">
        <v>46027</v>
      </c>
      <c r="L35" s="18">
        <f>VLOOKUP(K35,Table1[[Date]:[Payment Mode]],9,FALSE)</f>
        <v>5000</v>
      </c>
      <c r="N35" s="18" t="s">
        <v>23</v>
      </c>
      <c r="O35" s="18">
        <f>VLOOKUP(N35,Table1[[Product]:[Payment Mode]],2,FALSE)</f>
        <v>3</v>
      </c>
    </row>
    <row r="36" spans="1:15" x14ac:dyDescent="0.25">
      <c r="A36" t="s">
        <v>76</v>
      </c>
    </row>
    <row r="38" spans="1:15" x14ac:dyDescent="0.25">
      <c r="A38" t="s">
        <v>73</v>
      </c>
    </row>
    <row r="40" spans="1:15" x14ac:dyDescent="0.25">
      <c r="A40" t="s">
        <v>77</v>
      </c>
    </row>
    <row r="42" spans="1:15" x14ac:dyDescent="0.25">
      <c r="A42" t="s">
        <v>73</v>
      </c>
    </row>
    <row r="44" spans="1:15" x14ac:dyDescent="0.25">
      <c r="A44" t="s">
        <v>78</v>
      </c>
    </row>
    <row r="46" spans="1:15" x14ac:dyDescent="0.25">
      <c r="A46" t="s">
        <v>73</v>
      </c>
    </row>
    <row r="48" spans="1:15" x14ac:dyDescent="0.25">
      <c r="A48" t="s">
        <v>79</v>
      </c>
    </row>
  </sheetData>
  <dataValidations count="3">
    <dataValidation type="list" allowBlank="1" showInputMessage="1" showErrorMessage="1" sqref="N28 K28" xr:uid="{5D3D729B-A082-4ADE-A2FE-FE9A152C9806}">
      <formula1>$E$5:$E$24</formula1>
    </dataValidation>
    <dataValidation type="list" allowBlank="1" showInputMessage="1" showErrorMessage="1" sqref="N32 K35" xr:uid="{1A3CE23A-7AF7-4180-819F-48F6DCFC479B}">
      <formula1>$G$2:$G$21</formula1>
    </dataValidation>
    <dataValidation type="list" allowBlank="1" showInputMessage="1" showErrorMessage="1" sqref="N35 K32" xr:uid="{A601E401-C251-4BAF-87CF-FC0717756623}">
      <formula1>$K$5:$K$24</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5:N18"/>
  <sheetViews>
    <sheetView topLeftCell="B1" workbookViewId="0">
      <selection activeCell="H21" sqref="H21"/>
    </sheetView>
  </sheetViews>
  <sheetFormatPr defaultRowHeight="13.8" x14ac:dyDescent="0.25"/>
  <cols>
    <col min="4" max="4" width="14.5" bestFit="1" customWidth="1"/>
    <col min="5" max="5" width="10.8984375" bestFit="1" customWidth="1"/>
    <col min="7" max="7" width="10.69921875" customWidth="1"/>
    <col min="8" max="8" width="14.5" customWidth="1"/>
    <col min="10" max="10" width="10.69921875" customWidth="1"/>
    <col min="11" max="11" width="11.59765625" customWidth="1"/>
    <col min="13" max="13" width="12.296875" bestFit="1" customWidth="1"/>
    <col min="14" max="14" width="11" bestFit="1" customWidth="1"/>
  </cols>
  <sheetData>
    <row r="5" spans="4:14" x14ac:dyDescent="0.25">
      <c r="D5" s="16" t="s">
        <v>2</v>
      </c>
      <c r="E5" t="s">
        <v>81</v>
      </c>
      <c r="G5" s="16" t="s">
        <v>4</v>
      </c>
      <c r="H5" t="s">
        <v>81</v>
      </c>
      <c r="J5" s="16" t="s">
        <v>68</v>
      </c>
      <c r="K5" t="s">
        <v>81</v>
      </c>
      <c r="M5" s="16" t="s">
        <v>3</v>
      </c>
      <c r="N5" t="s">
        <v>83</v>
      </c>
    </row>
    <row r="6" spans="4:14" x14ac:dyDescent="0.25">
      <c r="D6" t="s">
        <v>33</v>
      </c>
      <c r="E6">
        <v>116000</v>
      </c>
      <c r="G6" t="s">
        <v>29</v>
      </c>
      <c r="H6">
        <v>63000</v>
      </c>
      <c r="J6" t="s">
        <v>82</v>
      </c>
      <c r="K6">
        <v>1053000</v>
      </c>
      <c r="M6" t="s">
        <v>14</v>
      </c>
      <c r="N6">
        <v>54000</v>
      </c>
    </row>
    <row r="7" spans="4:14" x14ac:dyDescent="0.25">
      <c r="D7" t="s">
        <v>13</v>
      </c>
      <c r="E7">
        <v>317000</v>
      </c>
      <c r="G7" t="s">
        <v>15</v>
      </c>
      <c r="H7">
        <v>492000</v>
      </c>
      <c r="J7" t="s">
        <v>80</v>
      </c>
      <c r="K7">
        <v>1053000</v>
      </c>
      <c r="M7" t="s">
        <v>37</v>
      </c>
      <c r="N7">
        <v>33800</v>
      </c>
    </row>
    <row r="8" spans="4:14" x14ac:dyDescent="0.25">
      <c r="D8" t="s">
        <v>20</v>
      </c>
      <c r="E8">
        <v>291000</v>
      </c>
      <c r="G8" t="s">
        <v>22</v>
      </c>
      <c r="H8">
        <v>383000</v>
      </c>
      <c r="M8" t="s">
        <v>21</v>
      </c>
      <c r="N8">
        <v>32500</v>
      </c>
    </row>
    <row r="9" spans="4:14" x14ac:dyDescent="0.25">
      <c r="D9" t="s">
        <v>27</v>
      </c>
      <c r="E9">
        <v>329000</v>
      </c>
      <c r="G9" t="s">
        <v>38</v>
      </c>
      <c r="H9">
        <v>115000</v>
      </c>
      <c r="M9" t="s">
        <v>28</v>
      </c>
      <c r="N9">
        <v>18900</v>
      </c>
    </row>
    <row r="10" spans="4:14" x14ac:dyDescent="0.25">
      <c r="D10" t="s">
        <v>80</v>
      </c>
      <c r="E10">
        <v>1053000</v>
      </c>
      <c r="G10" t="s">
        <v>80</v>
      </c>
      <c r="H10">
        <v>1053000</v>
      </c>
      <c r="M10" t="s">
        <v>34</v>
      </c>
      <c r="N10">
        <v>43500</v>
      </c>
    </row>
    <row r="11" spans="4:14" x14ac:dyDescent="0.25">
      <c r="M11" t="s">
        <v>80</v>
      </c>
      <c r="N11">
        <v>182700</v>
      </c>
    </row>
    <row r="14" spans="4:14" x14ac:dyDescent="0.25">
      <c r="D14" s="16" t="s">
        <v>11</v>
      </c>
      <c r="E14" t="s">
        <v>81</v>
      </c>
      <c r="G14" s="16" t="s">
        <v>10</v>
      </c>
      <c r="H14" t="s">
        <v>84</v>
      </c>
    </row>
    <row r="15" spans="4:14" x14ac:dyDescent="0.25">
      <c r="D15" t="s">
        <v>25</v>
      </c>
      <c r="E15" s="21">
        <v>517000</v>
      </c>
      <c r="G15" t="s">
        <v>24</v>
      </c>
      <c r="H15">
        <v>11</v>
      </c>
    </row>
    <row r="16" spans="4:14" x14ac:dyDescent="0.25">
      <c r="D16" t="s">
        <v>31</v>
      </c>
      <c r="E16" s="21">
        <v>223000</v>
      </c>
      <c r="G16" t="s">
        <v>17</v>
      </c>
      <c r="H16">
        <v>9</v>
      </c>
    </row>
    <row r="17" spans="4:8" x14ac:dyDescent="0.25">
      <c r="D17" t="s">
        <v>18</v>
      </c>
      <c r="E17" s="21">
        <v>313000</v>
      </c>
      <c r="G17" t="s">
        <v>80</v>
      </c>
      <c r="H17">
        <v>20</v>
      </c>
    </row>
    <row r="18" spans="4:8" x14ac:dyDescent="0.25">
      <c r="D18" t="s">
        <v>80</v>
      </c>
      <c r="E18" s="21">
        <v>1053000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5"/>
  <sheetViews>
    <sheetView zoomScale="90" zoomScaleNormal="117" workbookViewId="0">
      <selection activeCell="G27" sqref="G27:H31"/>
    </sheetView>
  </sheetViews>
  <sheetFormatPr defaultRowHeight="13.8" x14ac:dyDescent="0.25"/>
  <cols>
    <col min="1" max="1" width="10.796875" customWidth="1"/>
    <col min="2" max="2" width="11.59765625" customWidth="1"/>
    <col min="7" max="7" width="14.796875" bestFit="1" customWidth="1"/>
    <col min="8" max="8" width="10.8984375" bestFit="1" customWidth="1"/>
    <col min="11" max="12" width="16.09765625" customWidth="1"/>
    <col min="16" max="16" width="10.796875" customWidth="1"/>
    <col min="17" max="17" width="13.59765625" customWidth="1"/>
    <col min="18" max="18" width="12" customWidth="1"/>
    <col min="19" max="19" width="11.59765625" customWidth="1"/>
    <col min="20" max="22" width="8"/>
    <col min="23" max="23" width="10.09765625" bestFit="1" customWidth="1"/>
    <col min="24" max="24" width="10.8984375" bestFit="1" customWidth="1"/>
  </cols>
  <sheetData>
    <row r="1" s="17" customFormat="1" ht="120" customHeight="1" x14ac:dyDescent="0.25"/>
    <row r="64" spans="1:2" x14ac:dyDescent="0.25">
      <c r="A64" s="16" t="s">
        <v>2</v>
      </c>
      <c r="B64" t="s">
        <v>81</v>
      </c>
    </row>
    <row r="65" spans="1:18" x14ac:dyDescent="0.25">
      <c r="A65" t="s">
        <v>33</v>
      </c>
      <c r="B65">
        <v>116000</v>
      </c>
    </row>
    <row r="66" spans="1:18" x14ac:dyDescent="0.25">
      <c r="A66" t="s">
        <v>13</v>
      </c>
      <c r="B66">
        <v>317000</v>
      </c>
    </row>
    <row r="67" spans="1:18" x14ac:dyDescent="0.25">
      <c r="A67" t="s">
        <v>20</v>
      </c>
      <c r="B67">
        <v>291000</v>
      </c>
    </row>
    <row r="68" spans="1:18" x14ac:dyDescent="0.25">
      <c r="A68" t="s">
        <v>27</v>
      </c>
      <c r="B68">
        <v>329000</v>
      </c>
    </row>
    <row r="69" spans="1:18" x14ac:dyDescent="0.25">
      <c r="A69" t="s">
        <v>95</v>
      </c>
      <c r="Q69" s="16" t="s">
        <v>3</v>
      </c>
      <c r="R69" t="s">
        <v>83</v>
      </c>
    </row>
    <row r="70" spans="1:18" x14ac:dyDescent="0.25">
      <c r="A70" t="s">
        <v>80</v>
      </c>
      <c r="B70">
        <v>1053000</v>
      </c>
      <c r="Q70" t="s">
        <v>14</v>
      </c>
      <c r="R70">
        <v>54000</v>
      </c>
    </row>
    <row r="71" spans="1:18" x14ac:dyDescent="0.25">
      <c r="Q71" t="s">
        <v>37</v>
      </c>
      <c r="R71">
        <v>33800</v>
      </c>
    </row>
    <row r="72" spans="1:18" x14ac:dyDescent="0.25">
      <c r="Q72" t="s">
        <v>21</v>
      </c>
      <c r="R72">
        <v>32500</v>
      </c>
    </row>
    <row r="73" spans="1:18" x14ac:dyDescent="0.25">
      <c r="Q73" t="s">
        <v>28</v>
      </c>
      <c r="R73">
        <v>18900</v>
      </c>
    </row>
    <row r="74" spans="1:18" x14ac:dyDescent="0.25">
      <c r="Q74" t="s">
        <v>34</v>
      </c>
      <c r="R74">
        <v>43500</v>
      </c>
    </row>
    <row r="75" spans="1:18" x14ac:dyDescent="0.25">
      <c r="Q75" t="s">
        <v>80</v>
      </c>
      <c r="R75">
        <v>182700</v>
      </c>
    </row>
  </sheetData>
  <pageMargins left="0.25" right="0.25"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payaltechnova@gmail.com</dc:creator>
  <cp:lastModifiedBy>Muskan Shaikh</cp:lastModifiedBy>
  <dcterms:created xsi:type="dcterms:W3CDTF">2026-07-24T08:34:55Z</dcterms:created>
  <dcterms:modified xsi:type="dcterms:W3CDTF">2026-08-12T17:22:28Z</dcterms:modified>
</cp:coreProperties>
</file>